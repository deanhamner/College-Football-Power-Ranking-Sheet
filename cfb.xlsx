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h\Downloads\"/>
    </mc:Choice>
  </mc:AlternateContent>
  <xr:revisionPtr revIDLastSave="0" documentId="13_ncr:1_{8261C30F-F3BA-4751-8A67-5677EE082A30}" xr6:coauthVersionLast="47" xr6:coauthVersionMax="47" xr10:uidLastSave="{00000000-0000-0000-0000-000000000000}"/>
  <bookViews>
    <workbookView xWindow="-108" yWindow="-108" windowWidth="23256" windowHeight="12576" activeTab="1" xr2:uid="{1DCAB268-4C42-49A4-BDF2-4E2F004293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9" i="2" l="1"/>
  <c r="AE30" i="2" s="1"/>
  <c r="AE31" i="2" s="1"/>
  <c r="AE32" i="2" s="1"/>
  <c r="AE33" i="2" s="1"/>
  <c r="AE34" i="2" s="1"/>
  <c r="AE35" i="2" s="1"/>
  <c r="AE36" i="2" s="1"/>
  <c r="AE28" i="2"/>
  <c r="AE27" i="2"/>
  <c r="AE15" i="2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14" i="2"/>
  <c r="AE13" i="2"/>
  <c r="AE4" i="2"/>
  <c r="AE5" i="2" s="1"/>
  <c r="AE6" i="2" s="1"/>
  <c r="AE7" i="2" s="1"/>
  <c r="AE8" i="2" s="1"/>
  <c r="AE9" i="2" s="1"/>
  <c r="AE10" i="2" s="1"/>
  <c r="AE11" i="2" s="1"/>
  <c r="AE12" i="2" s="1"/>
  <c r="AE3" i="2"/>
  <c r="AE2" i="2"/>
  <c r="AD5" i="2"/>
  <c r="AD6" i="2"/>
  <c r="AD7" i="2"/>
  <c r="AD8" i="2"/>
  <c r="AD9" i="2"/>
  <c r="AD10" i="2"/>
  <c r="AD12" i="2"/>
  <c r="AD13" i="2"/>
  <c r="AD18" i="2"/>
  <c r="AD19" i="2"/>
  <c r="AD20" i="2"/>
  <c r="AD22" i="2"/>
  <c r="AD23" i="2"/>
  <c r="AD24" i="2"/>
  <c r="AD29" i="2"/>
  <c r="AD30" i="2"/>
  <c r="AD32" i="2"/>
  <c r="AD36" i="2"/>
  <c r="AD41" i="2"/>
  <c r="AD46" i="2"/>
  <c r="AD47" i="2"/>
  <c r="AD49" i="2"/>
  <c r="AD50" i="2"/>
  <c r="AD53" i="2"/>
  <c r="AD54" i="2"/>
  <c r="AD55" i="2"/>
  <c r="AD56" i="2"/>
  <c r="AD57" i="2"/>
  <c r="AD59" i="2"/>
  <c r="AD60" i="2"/>
  <c r="AD62" i="2"/>
  <c r="AD63" i="2"/>
  <c r="AD66" i="2"/>
  <c r="AD71" i="2"/>
  <c r="AD72" i="2"/>
  <c r="AD75" i="2"/>
  <c r="AD77" i="2"/>
  <c r="AD2" i="2"/>
  <c r="Q5" i="2"/>
  <c r="Q6" i="2"/>
  <c r="Q7" i="2"/>
  <c r="Q8" i="2"/>
  <c r="Q9" i="2"/>
  <c r="Q10" i="2"/>
  <c r="Q12" i="2"/>
  <c r="Q13" i="2"/>
  <c r="Q18" i="2"/>
  <c r="Q19" i="2"/>
  <c r="Q20" i="2"/>
  <c r="Q22" i="2"/>
  <c r="Q23" i="2"/>
  <c r="Q24" i="2"/>
  <c r="Q29" i="2"/>
  <c r="Q30" i="2"/>
  <c r="Q32" i="2"/>
  <c r="Q36" i="2"/>
  <c r="Q41" i="2"/>
  <c r="Q46" i="2"/>
  <c r="Q47" i="2"/>
  <c r="Q49" i="2"/>
  <c r="Q50" i="2"/>
  <c r="Q53" i="2"/>
  <c r="Q54" i="2"/>
  <c r="Q55" i="2"/>
  <c r="Q56" i="2"/>
  <c r="Q57" i="2"/>
  <c r="Q59" i="2"/>
  <c r="Q60" i="2"/>
  <c r="Q62" i="2"/>
  <c r="Q63" i="2"/>
  <c r="Q66" i="2"/>
  <c r="Q71" i="2"/>
  <c r="Q72" i="2"/>
  <c r="Q75" i="2"/>
  <c r="Q77" i="2"/>
  <c r="Q2" i="2"/>
  <c r="F3" i="2"/>
  <c r="E3" i="2" l="1"/>
  <c r="E4" i="2"/>
  <c r="E5" i="2"/>
  <c r="E6" i="2"/>
  <c r="E7" i="2"/>
  <c r="E8" i="2"/>
  <c r="M51" i="2" s="1"/>
  <c r="E9" i="2"/>
  <c r="E10" i="2"/>
  <c r="E11" i="2"/>
  <c r="E12" i="2"/>
  <c r="E13" i="2"/>
  <c r="E14" i="2"/>
  <c r="E15" i="2"/>
  <c r="F68" i="2" s="1"/>
  <c r="Q68" i="2" s="1"/>
  <c r="E16" i="2"/>
  <c r="N51" i="2" s="1"/>
  <c r="E17" i="2"/>
  <c r="E18" i="2"/>
  <c r="L51" i="2" s="1"/>
  <c r="E19" i="2"/>
  <c r="E20" i="2"/>
  <c r="E21" i="2"/>
  <c r="F67" i="2" s="1"/>
  <c r="Q67" i="2" s="1"/>
  <c r="E22" i="2"/>
  <c r="E23" i="2"/>
  <c r="E24" i="2"/>
  <c r="E25" i="2"/>
  <c r="E26" i="2"/>
  <c r="E27" i="2"/>
  <c r="E28" i="2"/>
  <c r="E29" i="2"/>
  <c r="E30" i="2"/>
  <c r="E31" i="2"/>
  <c r="E32" i="2"/>
  <c r="E33" i="2"/>
  <c r="F44" i="2" s="1"/>
  <c r="Q44" i="2" s="1"/>
  <c r="E34" i="2"/>
  <c r="E35" i="2"/>
  <c r="E36" i="2"/>
  <c r="E37" i="2"/>
  <c r="E38" i="2"/>
  <c r="F52" i="2" s="1"/>
  <c r="Q52" i="2" s="1"/>
  <c r="E39" i="2"/>
  <c r="E40" i="2"/>
  <c r="E41" i="2"/>
  <c r="E42" i="2"/>
  <c r="E43" i="2"/>
  <c r="E44" i="2"/>
  <c r="E45" i="2"/>
  <c r="E46" i="2"/>
  <c r="E47" i="2"/>
  <c r="E48" i="2"/>
  <c r="E49" i="2"/>
  <c r="E50" i="2"/>
  <c r="E52" i="2"/>
  <c r="E53" i="2"/>
  <c r="E54" i="2"/>
  <c r="E55" i="2"/>
  <c r="E56" i="2"/>
  <c r="E57" i="2"/>
  <c r="E58" i="2"/>
  <c r="E59" i="2"/>
  <c r="E60" i="2"/>
  <c r="E61" i="2"/>
  <c r="P51" i="2" s="1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F17" i="2" s="1"/>
  <c r="Q17" i="2" s="1"/>
  <c r="E77" i="2"/>
  <c r="E2" i="2"/>
  <c r="G73" i="2" l="1"/>
  <c r="G64" i="2"/>
  <c r="O51" i="2"/>
  <c r="I51" i="2"/>
  <c r="G25" i="2"/>
  <c r="G3" i="2"/>
  <c r="Q3" i="2" s="1"/>
  <c r="G27" i="2"/>
  <c r="F31" i="2"/>
  <c r="Q31" i="2" s="1"/>
  <c r="F26" i="2"/>
  <c r="F61" i="2"/>
  <c r="Q61" i="2" s="1"/>
  <c r="F14" i="2"/>
  <c r="Q14" i="2" s="1"/>
  <c r="F35" i="2"/>
  <c r="Q35" i="2" s="1"/>
  <c r="G26" i="2"/>
  <c r="F4" i="2"/>
  <c r="Q4" i="2" s="1"/>
  <c r="G48" i="2"/>
  <c r="F58" i="2"/>
  <c r="Q58" i="2" s="1"/>
  <c r="R52" i="2" s="1"/>
  <c r="AC51" i="2" s="1"/>
  <c r="J51" i="2"/>
  <c r="F16" i="2"/>
  <c r="Q16" i="2" s="1"/>
  <c r="F51" i="2"/>
  <c r="F69" i="2"/>
  <c r="F39" i="2"/>
  <c r="Q39" i="2" s="1"/>
  <c r="F74" i="2"/>
  <c r="Q74" i="2" s="1"/>
  <c r="F42" i="2"/>
  <c r="Q42" i="2" s="1"/>
  <c r="G51" i="2"/>
  <c r="F43" i="2"/>
  <c r="Q43" i="2" s="1"/>
  <c r="K51" i="2"/>
  <c r="F76" i="2"/>
  <c r="Q76" i="2" s="1"/>
  <c r="F11" i="2"/>
  <c r="Q11" i="2" s="1"/>
  <c r="F34" i="2"/>
  <c r="Q34" i="2" s="1"/>
  <c r="F45" i="2"/>
  <c r="Q45" i="2" s="1"/>
  <c r="H51" i="2"/>
  <c r="F64" i="2"/>
  <c r="F21" i="2"/>
  <c r="Q21" i="2" s="1"/>
  <c r="F40" i="2"/>
  <c r="Q40" i="2" s="1"/>
  <c r="F70" i="2"/>
  <c r="Q70" i="2" s="1"/>
  <c r="F65" i="2"/>
  <c r="Q65" i="2" s="1"/>
  <c r="F37" i="2"/>
  <c r="Q37" i="2" s="1"/>
  <c r="F27" i="2"/>
  <c r="G69" i="2"/>
  <c r="F33" i="2"/>
  <c r="Q33" i="2" s="1"/>
  <c r="F48" i="2"/>
  <c r="F25" i="2"/>
  <c r="Q25" i="2" s="1"/>
  <c r="F73" i="2"/>
  <c r="Q73" i="2" s="1"/>
  <c r="F15" i="2"/>
  <c r="Q15" i="2" s="1"/>
  <c r="F38" i="2"/>
  <c r="Q38" i="2" s="1"/>
  <c r="F28" i="2"/>
  <c r="Q28" i="2" s="1"/>
  <c r="Q27" i="2" l="1"/>
  <c r="Q64" i="2"/>
  <c r="R2" i="2"/>
  <c r="AF2" i="2" s="1"/>
  <c r="R27" i="2"/>
  <c r="Q26" i="2"/>
  <c r="R13" i="2" s="1"/>
  <c r="AF13" i="2" s="1"/>
  <c r="Q51" i="2"/>
  <c r="R51" i="2" s="1"/>
  <c r="Q48" i="2"/>
  <c r="R37" i="2" s="1"/>
  <c r="Q69" i="2"/>
  <c r="R64" i="2" s="1"/>
  <c r="T73" i="2" l="1"/>
  <c r="S67" i="2"/>
  <c r="AD67" i="2" s="1"/>
  <c r="T64" i="2"/>
  <c r="S14" i="2"/>
  <c r="AD14" i="2" s="1"/>
  <c r="S3" i="2"/>
  <c r="S70" i="2"/>
  <c r="AD70" i="2" s="1"/>
  <c r="X51" i="2"/>
  <c r="R53" i="2"/>
  <c r="AF53" i="2" s="1"/>
  <c r="S40" i="2"/>
  <c r="AD40" i="2" s="1"/>
  <c r="S42" i="2"/>
  <c r="AD42" i="2" s="1"/>
  <c r="S39" i="2"/>
  <c r="AD39" i="2" s="1"/>
  <c r="S31" i="2"/>
  <c r="AD31" i="2" s="1"/>
  <c r="S35" i="2"/>
  <c r="AD35" i="2" s="1"/>
  <c r="S44" i="2"/>
  <c r="AD44" i="2" s="1"/>
  <c r="R38" i="2"/>
  <c r="T3" i="2"/>
  <c r="T25" i="2"/>
  <c r="U51" i="2"/>
  <c r="T26" i="2"/>
  <c r="T51" i="2"/>
  <c r="T27" i="2"/>
  <c r="S16" i="2"/>
  <c r="AD16" i="2" s="1"/>
  <c r="AF39" i="2" l="1"/>
  <c r="AF14" i="2"/>
  <c r="AD3" i="2"/>
  <c r="AF3" i="2" s="1"/>
  <c r="AA51" i="2"/>
  <c r="AB51" i="2"/>
  <c r="Z51" i="2"/>
  <c r="R65" i="2"/>
  <c r="R39" i="2"/>
  <c r="S52" i="2"/>
  <c r="AD52" i="2" s="1"/>
  <c r="AF52" i="2" s="1"/>
  <c r="R54" i="2"/>
  <c r="AF54" i="2" s="1"/>
  <c r="S11" i="2"/>
  <c r="AD11" i="2" s="1"/>
  <c r="S58" i="2"/>
  <c r="AD58" i="2" s="1"/>
  <c r="S61" i="2"/>
  <c r="AD61" i="2" s="1"/>
  <c r="Y51" i="2"/>
  <c r="W51" i="2"/>
  <c r="S45" i="2"/>
  <c r="AD45" i="2" s="1"/>
  <c r="S76" i="2"/>
  <c r="AD76" i="2" s="1"/>
  <c r="S73" i="2"/>
  <c r="AD73" i="2" s="1"/>
  <c r="T69" i="2"/>
  <c r="S33" i="2"/>
  <c r="AD33" i="2" s="1"/>
  <c r="V51" i="2"/>
  <c r="T48" i="2"/>
  <c r="S37" i="2"/>
  <c r="AD37" i="2" s="1"/>
  <c r="AF37" i="2" s="1"/>
  <c r="R14" i="2"/>
  <c r="S51" i="2"/>
  <c r="S4" i="2"/>
  <c r="AD4" i="2" s="1"/>
  <c r="S26" i="2"/>
  <c r="AD26" i="2" s="1"/>
  <c r="S43" i="2"/>
  <c r="AD43" i="2" s="1"/>
  <c r="R28" i="2"/>
  <c r="R29" i="2" s="1"/>
  <c r="AF29" i="2" s="1"/>
  <c r="S34" i="2"/>
  <c r="AD34" i="2" s="1"/>
  <c r="S27" i="2"/>
  <c r="AD27" i="2" s="1"/>
  <c r="AF27" i="2" s="1"/>
  <c r="S28" i="2"/>
  <c r="AD28" i="2" s="1"/>
  <c r="AF28" i="2" s="1"/>
  <c r="S48" i="2"/>
  <c r="S25" i="2"/>
  <c r="AD25" i="2" s="1"/>
  <c r="S15" i="2"/>
  <c r="AD15" i="2" s="1"/>
  <c r="S21" i="2"/>
  <c r="AD21" i="2" s="1"/>
  <c r="R3" i="2"/>
  <c r="S38" i="2"/>
  <c r="AD38" i="2" s="1"/>
  <c r="AF38" i="2" s="1"/>
  <c r="AF15" i="2" l="1"/>
  <c r="AD48" i="2"/>
  <c r="AD51" i="2"/>
  <c r="AF51" i="2" s="1"/>
  <c r="R66" i="2"/>
  <c r="AF66" i="2" s="1"/>
  <c r="R55" i="2"/>
  <c r="AF55" i="2" s="1"/>
  <c r="R30" i="2"/>
  <c r="AF30" i="2" s="1"/>
  <c r="R15" i="2"/>
  <c r="R16" i="2" s="1"/>
  <c r="AF16" i="2" s="1"/>
  <c r="R40" i="2"/>
  <c r="AF40" i="2" s="1"/>
  <c r="R4" i="2"/>
  <c r="AF4" i="2" s="1"/>
  <c r="R67" i="2" l="1"/>
  <c r="AF67" i="2" s="1"/>
  <c r="R31" i="2"/>
  <c r="AF31" i="2" s="1"/>
  <c r="R41" i="2"/>
  <c r="AF41" i="2" s="1"/>
  <c r="R56" i="2"/>
  <c r="AF56" i="2" s="1"/>
  <c r="R5" i="2"/>
  <c r="AF5" i="2" s="1"/>
  <c r="R17" i="2"/>
  <c r="R68" i="2" l="1"/>
  <c r="R69" i="2" s="1"/>
  <c r="R57" i="2"/>
  <c r="AF57" i="2" s="1"/>
  <c r="R42" i="2"/>
  <c r="AF42" i="2" s="1"/>
  <c r="R32" i="2"/>
  <c r="AF32" i="2" s="1"/>
  <c r="R6" i="2"/>
  <c r="AF6" i="2" s="1"/>
  <c r="R18" i="2"/>
  <c r="AF18" i="2" s="1"/>
  <c r="S74" i="2" l="1"/>
  <c r="AD74" i="2" s="1"/>
  <c r="R33" i="2"/>
  <c r="AF33" i="2" s="1"/>
  <c r="S65" i="2"/>
  <c r="AD65" i="2" s="1"/>
  <c r="AF65" i="2" s="1"/>
  <c r="R43" i="2"/>
  <c r="AF43" i="2" s="1"/>
  <c r="R58" i="2"/>
  <c r="AF58" i="2" s="1"/>
  <c r="R7" i="2"/>
  <c r="AF7" i="2" s="1"/>
  <c r="R70" i="2"/>
  <c r="AF70" i="2" s="1"/>
  <c r="R19" i="2"/>
  <c r="AF19" i="2" s="1"/>
  <c r="R44" i="2" l="1"/>
  <c r="AF44" i="2" s="1"/>
  <c r="R34" i="2"/>
  <c r="AF34" i="2" s="1"/>
  <c r="R59" i="2"/>
  <c r="AF59" i="2" s="1"/>
  <c r="R8" i="2"/>
  <c r="AF8" i="2" s="1"/>
  <c r="R71" i="2"/>
  <c r="AF71" i="2" s="1"/>
  <c r="R20" i="2"/>
  <c r="AF20" i="2" s="1"/>
  <c r="R60" i="2" l="1"/>
  <c r="AF60" i="2" s="1"/>
  <c r="R35" i="2"/>
  <c r="AF35" i="2" s="1"/>
  <c r="R45" i="2"/>
  <c r="AF45" i="2" s="1"/>
  <c r="S69" i="2"/>
  <c r="AD69" i="2" s="1"/>
  <c r="AF69" i="2" s="1"/>
  <c r="R9" i="2"/>
  <c r="AF9" i="2" s="1"/>
  <c r="R72" i="2"/>
  <c r="AF72" i="2" s="1"/>
  <c r="R21" i="2"/>
  <c r="AF21" i="2" s="1"/>
  <c r="R36" i="2" l="1"/>
  <c r="AF36" i="2" s="1"/>
  <c r="R46" i="2"/>
  <c r="AF46" i="2" s="1"/>
  <c r="R61" i="2"/>
  <c r="AF61" i="2" s="1"/>
  <c r="R10" i="2"/>
  <c r="AF10" i="2" s="1"/>
  <c r="R22" i="2"/>
  <c r="AF22" i="2" s="1"/>
  <c r="R73" i="2"/>
  <c r="AF73" i="2" s="1"/>
  <c r="R62" i="2" l="1"/>
  <c r="AF62" i="2" s="1"/>
  <c r="R47" i="2"/>
  <c r="AF47" i="2" s="1"/>
  <c r="R11" i="2"/>
  <c r="AF11" i="2" s="1"/>
  <c r="R74" i="2"/>
  <c r="AF74" i="2" s="1"/>
  <c r="R23" i="2"/>
  <c r="AF23" i="2" s="1"/>
  <c r="R63" i="2" l="1"/>
  <c r="AF63" i="2" s="1"/>
  <c r="S64" i="2"/>
  <c r="AD64" i="2" s="1"/>
  <c r="AF64" i="2" s="1"/>
  <c r="R48" i="2"/>
  <c r="AF48" i="2" s="1"/>
  <c r="R12" i="2"/>
  <c r="AF12" i="2" s="1"/>
  <c r="R24" i="2"/>
  <c r="AF24" i="2" s="1"/>
  <c r="R75" i="2"/>
  <c r="AF75" i="2" s="1"/>
  <c r="R49" i="2" l="1"/>
  <c r="AF49" i="2" s="1"/>
  <c r="S68" i="2"/>
  <c r="AD68" i="2" s="1"/>
  <c r="AF68" i="2" s="1"/>
  <c r="R76" i="2"/>
  <c r="AF76" i="2" s="1"/>
  <c r="R25" i="2"/>
  <c r="AF25" i="2" s="1"/>
  <c r="S17" i="2" l="1"/>
  <c r="AD17" i="2" s="1"/>
  <c r="AF17" i="2" s="1"/>
  <c r="R50" i="2"/>
  <c r="AF50" i="2" s="1"/>
  <c r="R77" i="2"/>
  <c r="AF77" i="2" s="1"/>
  <c r="R26" i="2"/>
  <c r="AF26" i="2" s="1"/>
</calcChain>
</file>

<file path=xl/sharedStrings.xml><?xml version="1.0" encoding="utf-8"?>
<sst xmlns="http://schemas.openxmlformats.org/spreadsheetml/2006/main" count="267" uniqueCount="114">
  <si>
    <t>American</t>
  </si>
  <si>
    <t>ACC</t>
  </si>
  <si>
    <t>Cincy</t>
  </si>
  <si>
    <t>SMU</t>
  </si>
  <si>
    <t>UCF</t>
  </si>
  <si>
    <t>ECU</t>
  </si>
  <si>
    <t>Tulsa</t>
  </si>
  <si>
    <t>Navy</t>
  </si>
  <si>
    <t>USF</t>
  </si>
  <si>
    <t>Temple</t>
  </si>
  <si>
    <t>Tulane</t>
  </si>
  <si>
    <t>Memphis</t>
  </si>
  <si>
    <t>Big 12</t>
  </si>
  <si>
    <t>Big 10</t>
  </si>
  <si>
    <t>Pac 12</t>
  </si>
  <si>
    <t>Sec</t>
  </si>
  <si>
    <t>ND</t>
  </si>
  <si>
    <t>AAC</t>
  </si>
  <si>
    <t>Team</t>
  </si>
  <si>
    <t>conference</t>
  </si>
  <si>
    <t>houston</t>
  </si>
  <si>
    <t>Conference rank</t>
  </si>
  <si>
    <t>Team Count</t>
  </si>
  <si>
    <t>Wake</t>
  </si>
  <si>
    <t>NC State</t>
  </si>
  <si>
    <t>Pitt</t>
  </si>
  <si>
    <t>Team intra Conference Score</t>
  </si>
  <si>
    <t>Virginia</t>
  </si>
  <si>
    <t>Clemson</t>
  </si>
  <si>
    <t>North Carolina</t>
  </si>
  <si>
    <t>Virgina Tech</t>
  </si>
  <si>
    <t>Miami</t>
  </si>
  <si>
    <t>Florida State</t>
  </si>
  <si>
    <t>Syracuse</t>
  </si>
  <si>
    <t>Georgia Tech</t>
  </si>
  <si>
    <t>Louisville</t>
  </si>
  <si>
    <t>Boston College</t>
  </si>
  <si>
    <t>Duke</t>
  </si>
  <si>
    <t>Oklahoma</t>
  </si>
  <si>
    <t>Big12</t>
  </si>
  <si>
    <t>Ok State</t>
  </si>
  <si>
    <t>Baylor</t>
  </si>
  <si>
    <t>Iowa State</t>
  </si>
  <si>
    <t>KS State</t>
  </si>
  <si>
    <t>Texas</t>
  </si>
  <si>
    <t>West Virginia</t>
  </si>
  <si>
    <t>Texas Tech</t>
  </si>
  <si>
    <t>TCU</t>
  </si>
  <si>
    <t>Kansas</t>
  </si>
  <si>
    <t>Michigan State</t>
  </si>
  <si>
    <t>Big10</t>
  </si>
  <si>
    <t>Ohio State</t>
  </si>
  <si>
    <t>Michigan</t>
  </si>
  <si>
    <t>Minnesota</t>
  </si>
  <si>
    <t>Wisconsin</t>
  </si>
  <si>
    <t>Purdue</t>
  </si>
  <si>
    <t>Iowa</t>
  </si>
  <si>
    <t>BIg10</t>
  </si>
  <si>
    <t>Maryland</t>
  </si>
  <si>
    <t>Penn State</t>
  </si>
  <si>
    <t>Illinois</t>
  </si>
  <si>
    <t>Northwestern</t>
  </si>
  <si>
    <t>Rutgers</t>
  </si>
  <si>
    <t>Nebraska</t>
  </si>
  <si>
    <t>Indiana</t>
  </si>
  <si>
    <t>Independent</t>
  </si>
  <si>
    <t>Oregon</t>
  </si>
  <si>
    <t>Pac12</t>
  </si>
  <si>
    <t>Utah</t>
  </si>
  <si>
    <t>Wash. State</t>
  </si>
  <si>
    <t>Arizona State</t>
  </si>
  <si>
    <t>Oregon State</t>
  </si>
  <si>
    <t>Washington</t>
  </si>
  <si>
    <t>UCLA</t>
  </si>
  <si>
    <t>USC</t>
  </si>
  <si>
    <t>Cal</t>
  </si>
  <si>
    <t>Stanford</t>
  </si>
  <si>
    <t>Colorado</t>
  </si>
  <si>
    <t>Arizona</t>
  </si>
  <si>
    <t>Georgia</t>
  </si>
  <si>
    <t>SEC</t>
  </si>
  <si>
    <t>Alabama</t>
  </si>
  <si>
    <t>Auburn</t>
  </si>
  <si>
    <t>Kentucky</t>
  </si>
  <si>
    <t>MS State</t>
  </si>
  <si>
    <t>Ole Miss</t>
  </si>
  <si>
    <t>TXAM</t>
  </si>
  <si>
    <t>LSU</t>
  </si>
  <si>
    <t>Tennessee</t>
  </si>
  <si>
    <t>Florida</t>
  </si>
  <si>
    <t>Arky</t>
  </si>
  <si>
    <t>Mizzou</t>
  </si>
  <si>
    <t>South Carolina</t>
  </si>
  <si>
    <t>Vanderbilt</t>
  </si>
  <si>
    <t>OOC Win1</t>
  </si>
  <si>
    <t>OOC Win2</t>
  </si>
  <si>
    <t>OOC Win3</t>
  </si>
  <si>
    <t>OOC Win5</t>
  </si>
  <si>
    <t>OOC Win4</t>
  </si>
  <si>
    <t>OOC Win6</t>
  </si>
  <si>
    <t>Raw OOC Points</t>
  </si>
  <si>
    <t>Conference Points</t>
  </si>
  <si>
    <t>Weighted OOC1</t>
  </si>
  <si>
    <t>Weighted OOC2</t>
  </si>
  <si>
    <t>Weighted OOC3</t>
  </si>
  <si>
    <t>Weighted OOC4</t>
  </si>
  <si>
    <t>Weighted OOC5</t>
  </si>
  <si>
    <t>OOC Win7</t>
  </si>
  <si>
    <t>Weighted OOC6</t>
  </si>
  <si>
    <t>Weighted OOC7</t>
  </si>
  <si>
    <t>Weighted Wins Total</t>
  </si>
  <si>
    <t>Final</t>
  </si>
  <si>
    <t>conf weight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</si>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</sst>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0ABA-5762-4150-8743-E485D43B13F4}">
  <dimension ref="A1:H8"/>
  <sheetViews>
    <sheetView workbookViewId="0">
      <selection activeCell="A10" sqref="A10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 t="s">
        <v>0</v>
      </c>
      <c r="D2">
        <v>0</v>
      </c>
      <c r="E2">
        <v>1</v>
      </c>
      <c r="H2">
        <v>1</v>
      </c>
    </row>
    <row r="3" spans="1:8" x14ac:dyDescent="0.3">
      <c r="A3" t="s">
        <v>1</v>
      </c>
    </row>
    <row r="4" spans="1:8" x14ac:dyDescent="0.3">
      <c r="A4" t="s">
        <v>12</v>
      </c>
    </row>
    <row r="5" spans="1:8" x14ac:dyDescent="0.3">
      <c r="A5" t="s">
        <v>13</v>
      </c>
    </row>
    <row r="6" spans="1:8" x14ac:dyDescent="0.3">
      <c r="A6" t="s">
        <v>14</v>
      </c>
    </row>
    <row r="7" spans="1:8" x14ac:dyDescent="0.3">
      <c r="A7" t="s">
        <v>15</v>
      </c>
    </row>
    <row r="8" spans="1:8" x14ac:dyDescent="0.3">
      <c r="A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1052-508E-4740-8D8A-DE4B20B753B7}">
  <dimension ref="A1:AI77"/>
  <sheetViews>
    <sheetView tabSelected="1" topLeftCell="L18" workbookViewId="0">
      <selection activeCell="AE37" sqref="AE37"/>
    </sheetView>
  </sheetViews>
  <sheetFormatPr defaultRowHeight="14.4" x14ac:dyDescent="0.3"/>
  <cols>
    <col min="5" max="5" width="25" customWidth="1"/>
    <col min="18" max="18" width="13.21875" customWidth="1"/>
    <col min="19" max="19" width="14.6640625" customWidth="1"/>
    <col min="20" max="20" width="12" bestFit="1" customWidth="1"/>
  </cols>
  <sheetData>
    <row r="1" spans="1:35" x14ac:dyDescent="0.3">
      <c r="A1" t="s">
        <v>18</v>
      </c>
      <c r="B1" t="s">
        <v>19</v>
      </c>
      <c r="C1" t="s">
        <v>21</v>
      </c>
      <c r="D1" t="s">
        <v>22</v>
      </c>
      <c r="E1" t="s">
        <v>26</v>
      </c>
      <c r="F1" t="s">
        <v>94</v>
      </c>
      <c r="G1" t="s">
        <v>95</v>
      </c>
      <c r="H1" t="s">
        <v>96</v>
      </c>
      <c r="I1" t="s">
        <v>98</v>
      </c>
      <c r="J1" t="s">
        <v>97</v>
      </c>
      <c r="K1" t="s">
        <v>99</v>
      </c>
      <c r="L1" t="s">
        <v>107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108</v>
      </c>
      <c r="Y1" t="s">
        <v>109</v>
      </c>
      <c r="AD1" t="s">
        <v>110</v>
      </c>
      <c r="AE1" t="s">
        <v>112</v>
      </c>
      <c r="AF1" t="s">
        <v>111</v>
      </c>
      <c r="AH1">
        <v>1.4233681167908208</v>
      </c>
      <c r="AI1" t="s">
        <v>79</v>
      </c>
    </row>
    <row r="2" spans="1:35" x14ac:dyDescent="0.3">
      <c r="A2" t="s">
        <v>20</v>
      </c>
      <c r="B2" t="s">
        <v>17</v>
      </c>
      <c r="C2">
        <v>2</v>
      </c>
      <c r="D2">
        <v>11</v>
      </c>
      <c r="E2">
        <f>SUM(1-(C2/D2)+0.00001)</f>
        <v>0.81819181818181808</v>
      </c>
      <c r="Q2">
        <f>SUM(F2:P2)</f>
        <v>0</v>
      </c>
      <c r="R2">
        <f>SUM(Q2:Q12)/11</f>
        <v>0.11558714285714283</v>
      </c>
      <c r="AD2">
        <f>SUM(S2:AC2)</f>
        <v>0</v>
      </c>
      <c r="AE2">
        <f>SUM(AD2:AD12)</f>
        <v>0.43215857842912014</v>
      </c>
      <c r="AF2">
        <f>AD2+E2+R2</f>
        <v>0.93377896103896085</v>
      </c>
      <c r="AH2">
        <v>1.3290109685685705</v>
      </c>
      <c r="AI2" t="s">
        <v>81</v>
      </c>
    </row>
    <row r="3" spans="1:35" x14ac:dyDescent="0.3">
      <c r="A3" t="s">
        <v>2</v>
      </c>
      <c r="B3" t="s">
        <v>17</v>
      </c>
      <c r="C3">
        <v>1</v>
      </c>
      <c r="D3">
        <v>11</v>
      </c>
      <c r="E3">
        <f t="shared" ref="E3:E66" si="0">SUM(1-(C3/D3)+0.00001)</f>
        <v>0.90910090909090902</v>
      </c>
      <c r="F3">
        <f>E51</f>
        <v>0.5</v>
      </c>
      <c r="G3">
        <f>E50</f>
        <v>1.0000000000000001E-5</v>
      </c>
      <c r="Q3">
        <f t="shared" ref="Q3:Q66" si="1">SUM(F3:P3)</f>
        <v>0.50000999999999995</v>
      </c>
      <c r="R3">
        <f>R2</f>
        <v>0.11558714285714283</v>
      </c>
      <c r="S3">
        <f>F3*R51</f>
        <v>0.16770472451790633</v>
      </c>
      <c r="T3">
        <f>G3*R37</f>
        <v>2.6260763760049475E-6</v>
      </c>
      <c r="AD3">
        <f t="shared" ref="AD3:AD66" si="2">SUM(S3:AC3)</f>
        <v>0.16770735059428232</v>
      </c>
      <c r="AE3">
        <f>AE2</f>
        <v>0.43215857842912014</v>
      </c>
      <c r="AF3">
        <f t="shared" ref="AF3:AF66" si="3">AD3+E3+R3</f>
        <v>1.1923954025423342</v>
      </c>
      <c r="AH3">
        <v>1.2671359112144491</v>
      </c>
      <c r="AI3" t="s">
        <v>85</v>
      </c>
    </row>
    <row r="4" spans="1:35" x14ac:dyDescent="0.3">
      <c r="A4" t="s">
        <v>3</v>
      </c>
      <c r="B4" t="s">
        <v>17</v>
      </c>
      <c r="C4">
        <v>6</v>
      </c>
      <c r="D4">
        <v>11</v>
      </c>
      <c r="E4">
        <f t="shared" si="0"/>
        <v>0.4545554545454546</v>
      </c>
      <c r="F4">
        <f>E35</f>
        <v>0.20000999999999997</v>
      </c>
      <c r="Q4">
        <f t="shared" si="1"/>
        <v>0.20000999999999997</v>
      </c>
      <c r="R4">
        <f t="shared" ref="R4:R12" si="4">R3</f>
        <v>0.11558714285714283</v>
      </c>
      <c r="S4">
        <f>F4*R27</f>
        <v>5.3770322147922059E-2</v>
      </c>
      <c r="AD4">
        <f t="shared" si="2"/>
        <v>5.3770322147922059E-2</v>
      </c>
      <c r="AE4">
        <f t="shared" ref="AE4:AE12" si="5">AE3</f>
        <v>0.43215857842912014</v>
      </c>
      <c r="AF4">
        <f t="shared" si="3"/>
        <v>0.62391291955051953</v>
      </c>
      <c r="AH4">
        <v>1.2470818328889655</v>
      </c>
      <c r="AI4" t="s">
        <v>25</v>
      </c>
    </row>
    <row r="5" spans="1:35" x14ac:dyDescent="0.3">
      <c r="A5" t="s">
        <v>4</v>
      </c>
      <c r="B5" t="s">
        <v>17</v>
      </c>
      <c r="C5">
        <v>3</v>
      </c>
      <c r="D5">
        <v>11</v>
      </c>
      <c r="E5">
        <f t="shared" si="0"/>
        <v>0.72728272727272725</v>
      </c>
      <c r="Q5">
        <f t="shared" si="1"/>
        <v>0</v>
      </c>
      <c r="R5">
        <f t="shared" si="4"/>
        <v>0.11558714285714283</v>
      </c>
      <c r="AD5">
        <f t="shared" si="2"/>
        <v>0</v>
      </c>
      <c r="AE5">
        <f t="shared" si="5"/>
        <v>0.43215857842912014</v>
      </c>
      <c r="AF5">
        <f t="shared" si="3"/>
        <v>0.84286987012987002</v>
      </c>
      <c r="AH5">
        <v>1.2318968571701299</v>
      </c>
      <c r="AI5" t="s">
        <v>40</v>
      </c>
    </row>
    <row r="6" spans="1:35" x14ac:dyDescent="0.3">
      <c r="A6" t="s">
        <v>5</v>
      </c>
      <c r="B6" t="s">
        <v>17</v>
      </c>
      <c r="C6">
        <v>4</v>
      </c>
      <c r="D6">
        <v>11</v>
      </c>
      <c r="E6">
        <f t="shared" si="0"/>
        <v>0.63637363636363631</v>
      </c>
      <c r="Q6">
        <f t="shared" si="1"/>
        <v>0</v>
      </c>
      <c r="R6">
        <f t="shared" si="4"/>
        <v>0.11558714285714283</v>
      </c>
      <c r="AD6">
        <f t="shared" si="2"/>
        <v>0</v>
      </c>
      <c r="AE6">
        <f t="shared" si="5"/>
        <v>0.43215857842912014</v>
      </c>
      <c r="AF6">
        <f t="shared" si="3"/>
        <v>0.7519607792207792</v>
      </c>
      <c r="AH6">
        <v>1.1923954025423342</v>
      </c>
      <c r="AI6" t="s">
        <v>2</v>
      </c>
    </row>
    <row r="7" spans="1:35" x14ac:dyDescent="0.3">
      <c r="A7" t="s">
        <v>6</v>
      </c>
      <c r="B7" t="s">
        <v>17</v>
      </c>
      <c r="C7">
        <v>5</v>
      </c>
      <c r="D7">
        <v>11</v>
      </c>
      <c r="E7">
        <f t="shared" si="0"/>
        <v>0.54546454545454537</v>
      </c>
      <c r="Q7">
        <f t="shared" si="1"/>
        <v>0</v>
      </c>
      <c r="R7">
        <f t="shared" si="4"/>
        <v>0.11558714285714283</v>
      </c>
      <c r="AD7">
        <f t="shared" si="2"/>
        <v>0</v>
      </c>
      <c r="AE7">
        <f t="shared" si="5"/>
        <v>0.43215857842912014</v>
      </c>
      <c r="AF7">
        <f t="shared" si="3"/>
        <v>0.66105168831168815</v>
      </c>
      <c r="AH7">
        <v>1.1828091830823129</v>
      </c>
      <c r="AI7" t="s">
        <v>51</v>
      </c>
    </row>
    <row r="8" spans="1:35" x14ac:dyDescent="0.3">
      <c r="A8" t="s">
        <v>7</v>
      </c>
      <c r="B8" t="s">
        <v>17</v>
      </c>
      <c r="C8">
        <v>8</v>
      </c>
      <c r="D8">
        <v>11</v>
      </c>
      <c r="E8">
        <f t="shared" si="0"/>
        <v>0.27273727272727272</v>
      </c>
      <c r="Q8">
        <f t="shared" si="1"/>
        <v>0</v>
      </c>
      <c r="R8">
        <f t="shared" si="4"/>
        <v>0.11558714285714283</v>
      </c>
      <c r="AD8">
        <f t="shared" si="2"/>
        <v>0</v>
      </c>
      <c r="AE8">
        <f t="shared" si="5"/>
        <v>0.43215857842912014</v>
      </c>
      <c r="AF8">
        <f t="shared" si="3"/>
        <v>0.38832441558441555</v>
      </c>
      <c r="AH8">
        <v>1.174690339758605</v>
      </c>
      <c r="AI8" t="s">
        <v>83</v>
      </c>
    </row>
    <row r="9" spans="1:35" x14ac:dyDescent="0.3">
      <c r="A9" t="s">
        <v>8</v>
      </c>
      <c r="B9" t="s">
        <v>17</v>
      </c>
      <c r="C9">
        <v>10</v>
      </c>
      <c r="D9">
        <v>11</v>
      </c>
      <c r="E9">
        <f t="shared" si="0"/>
        <v>9.0919090909090935E-2</v>
      </c>
      <c r="Q9">
        <f t="shared" si="1"/>
        <v>0</v>
      </c>
      <c r="R9">
        <f t="shared" si="4"/>
        <v>0.11558714285714283</v>
      </c>
      <c r="AD9">
        <f t="shared" si="2"/>
        <v>0</v>
      </c>
      <c r="AE9">
        <f t="shared" si="5"/>
        <v>0.43215857842912014</v>
      </c>
      <c r="AF9">
        <f t="shared" si="3"/>
        <v>0.20650623376623378</v>
      </c>
      <c r="AH9">
        <v>1.151504901778218</v>
      </c>
      <c r="AI9" t="s">
        <v>49</v>
      </c>
    </row>
    <row r="10" spans="1:35" x14ac:dyDescent="0.3">
      <c r="A10" t="s">
        <v>9</v>
      </c>
      <c r="B10" t="s">
        <v>17</v>
      </c>
      <c r="C10">
        <v>11</v>
      </c>
      <c r="D10">
        <v>11</v>
      </c>
      <c r="E10">
        <f t="shared" si="0"/>
        <v>1.0000000000000001E-5</v>
      </c>
      <c r="Q10">
        <f t="shared" si="1"/>
        <v>0</v>
      </c>
      <c r="R10">
        <f t="shared" si="4"/>
        <v>0.11558714285714283</v>
      </c>
      <c r="AD10">
        <f t="shared" si="2"/>
        <v>0</v>
      </c>
      <c r="AE10">
        <f t="shared" si="5"/>
        <v>0.43215857842912014</v>
      </c>
      <c r="AF10">
        <f t="shared" si="3"/>
        <v>0.11559714285714283</v>
      </c>
      <c r="AH10">
        <v>1.1508557776437156</v>
      </c>
      <c r="AI10" t="s">
        <v>16</v>
      </c>
    </row>
    <row r="11" spans="1:35" x14ac:dyDescent="0.3">
      <c r="A11" t="s">
        <v>11</v>
      </c>
      <c r="B11" t="s">
        <v>17</v>
      </c>
      <c r="C11">
        <v>7</v>
      </c>
      <c r="D11">
        <v>11</v>
      </c>
      <c r="E11">
        <f t="shared" si="0"/>
        <v>0.36364636363636366</v>
      </c>
      <c r="F11">
        <f>E68</f>
        <v>0.57143857142857135</v>
      </c>
      <c r="Q11">
        <f t="shared" si="1"/>
        <v>0.57143857142857135</v>
      </c>
      <c r="R11">
        <f t="shared" si="4"/>
        <v>0.11558714285714283</v>
      </c>
      <c r="S11">
        <f>F11*R64</f>
        <v>0.21068090568691578</v>
      </c>
      <c r="AD11">
        <f t="shared" si="2"/>
        <v>0.21068090568691578</v>
      </c>
      <c r="AE11">
        <f t="shared" si="5"/>
        <v>0.43215857842912014</v>
      </c>
      <c r="AF11">
        <f t="shared" si="3"/>
        <v>0.68991441218042238</v>
      </c>
      <c r="AH11">
        <v>1.1417740535434668</v>
      </c>
      <c r="AI11" t="s">
        <v>66</v>
      </c>
    </row>
    <row r="12" spans="1:35" x14ac:dyDescent="0.3">
      <c r="A12" t="s">
        <v>10</v>
      </c>
      <c r="B12" t="s">
        <v>17</v>
      </c>
      <c r="C12">
        <v>9</v>
      </c>
      <c r="D12">
        <v>11</v>
      </c>
      <c r="E12">
        <f t="shared" si="0"/>
        <v>0.18182818181818178</v>
      </c>
      <c r="Q12">
        <f t="shared" si="1"/>
        <v>0</v>
      </c>
      <c r="R12">
        <f t="shared" si="4"/>
        <v>0.11558714285714283</v>
      </c>
      <c r="AD12">
        <f t="shared" si="2"/>
        <v>0</v>
      </c>
      <c r="AE12">
        <f t="shared" si="5"/>
        <v>0.43215857842912014</v>
      </c>
      <c r="AF12">
        <f t="shared" si="3"/>
        <v>0.29741532467532461</v>
      </c>
      <c r="AH12">
        <v>1.1382089415665986</v>
      </c>
      <c r="AI12" t="s">
        <v>56</v>
      </c>
    </row>
    <row r="13" spans="1:35" x14ac:dyDescent="0.3">
      <c r="A13" t="s">
        <v>23</v>
      </c>
      <c r="B13" t="s">
        <v>1</v>
      </c>
      <c r="C13">
        <v>2</v>
      </c>
      <c r="D13">
        <v>14</v>
      </c>
      <c r="E13">
        <f t="shared" si="0"/>
        <v>0.85715285714285716</v>
      </c>
      <c r="Q13">
        <f t="shared" si="1"/>
        <v>0</v>
      </c>
      <c r="R13">
        <f>SUM(Q13:Q26)/14</f>
        <v>0.16048880333951762</v>
      </c>
      <c r="AD13">
        <f t="shared" si="2"/>
        <v>0</v>
      </c>
      <c r="AE13">
        <f>SUM(AD13:AD26)</f>
        <v>0.53793915021948313</v>
      </c>
      <c r="AF13">
        <f t="shared" si="3"/>
        <v>1.0176416604823748</v>
      </c>
      <c r="AH13">
        <v>1.0922064148504576</v>
      </c>
      <c r="AI13" t="s">
        <v>90</v>
      </c>
    </row>
    <row r="14" spans="1:35" x14ac:dyDescent="0.3">
      <c r="A14" t="s">
        <v>25</v>
      </c>
      <c r="B14" t="s">
        <v>1</v>
      </c>
      <c r="C14">
        <v>1</v>
      </c>
      <c r="D14">
        <v>14</v>
      </c>
      <c r="E14">
        <f t="shared" si="0"/>
        <v>0.92858142857142856</v>
      </c>
      <c r="F14">
        <f>E72</f>
        <v>0.42858142857142861</v>
      </c>
      <c r="Q14">
        <f t="shared" si="1"/>
        <v>0.42858142857142861</v>
      </c>
      <c r="R14">
        <f>R13</f>
        <v>0.16048880333951762</v>
      </c>
      <c r="S14">
        <f>F14*R64</f>
        <v>0.15801160097801928</v>
      </c>
      <c r="AD14">
        <f t="shared" si="2"/>
        <v>0.15801160097801928</v>
      </c>
      <c r="AE14">
        <f>AE13</f>
        <v>0.53793915021948313</v>
      </c>
      <c r="AF14">
        <f t="shared" si="3"/>
        <v>1.2470818328889655</v>
      </c>
      <c r="AH14">
        <v>1.0688481688311688</v>
      </c>
      <c r="AI14" t="s">
        <v>41</v>
      </c>
    </row>
    <row r="15" spans="1:35" x14ac:dyDescent="0.3">
      <c r="A15" t="s">
        <v>24</v>
      </c>
      <c r="B15" t="s">
        <v>1</v>
      </c>
      <c r="C15">
        <v>3</v>
      </c>
      <c r="D15">
        <v>14</v>
      </c>
      <c r="E15">
        <f t="shared" si="0"/>
        <v>0.78572428571428565</v>
      </c>
      <c r="F15">
        <f>E9</f>
        <v>9.0919090909090935E-2</v>
      </c>
      <c r="Q15">
        <f t="shared" si="1"/>
        <v>9.0919090909090935E-2</v>
      </c>
      <c r="R15">
        <f t="shared" ref="R15:R26" si="6">R14</f>
        <v>0.16048880333951762</v>
      </c>
      <c r="S15">
        <f>F15*R2</f>
        <v>1.0509077949350651E-2</v>
      </c>
      <c r="AD15">
        <f t="shared" si="2"/>
        <v>1.0509077949350651E-2</v>
      </c>
      <c r="AE15">
        <f t="shared" ref="AE15:AE26" si="7">AE14</f>
        <v>0.53793915021948313</v>
      </c>
      <c r="AF15">
        <f t="shared" si="3"/>
        <v>0.95672216700315393</v>
      </c>
      <c r="AH15">
        <v>1.0662236547599302</v>
      </c>
      <c r="AI15" t="s">
        <v>84</v>
      </c>
    </row>
    <row r="16" spans="1:35" x14ac:dyDescent="0.3">
      <c r="A16" t="s">
        <v>27</v>
      </c>
      <c r="B16" t="s">
        <v>1</v>
      </c>
      <c r="C16">
        <v>9</v>
      </c>
      <c r="D16">
        <v>14</v>
      </c>
      <c r="E16">
        <f t="shared" si="0"/>
        <v>0.35715285714285711</v>
      </c>
      <c r="F16">
        <f>E46</f>
        <v>0.42858142857142861</v>
      </c>
      <c r="Q16">
        <f t="shared" si="1"/>
        <v>0.42858142857142861</v>
      </c>
      <c r="R16">
        <f t="shared" si="6"/>
        <v>0.16048880333951762</v>
      </c>
      <c r="S16">
        <f>F16*R37</f>
        <v>0.11254875647658803</v>
      </c>
      <c r="AD16">
        <f t="shared" si="2"/>
        <v>0.11254875647658803</v>
      </c>
      <c r="AE16">
        <f t="shared" si="7"/>
        <v>0.53793915021948313</v>
      </c>
      <c r="AF16">
        <f t="shared" si="3"/>
        <v>0.63019041695896272</v>
      </c>
      <c r="AH16">
        <v>1.027383171734888</v>
      </c>
      <c r="AI16" t="s">
        <v>38</v>
      </c>
    </row>
    <row r="17" spans="1:35" x14ac:dyDescent="0.3">
      <c r="A17" t="s">
        <v>28</v>
      </c>
      <c r="B17" t="s">
        <v>1</v>
      </c>
      <c r="C17">
        <v>4</v>
      </c>
      <c r="D17">
        <v>14</v>
      </c>
      <c r="E17">
        <f t="shared" si="0"/>
        <v>0.71429571428571426</v>
      </c>
      <c r="F17">
        <f>E76</f>
        <v>0.21429571428571431</v>
      </c>
      <c r="Q17">
        <f t="shared" si="1"/>
        <v>0.21429571428571431</v>
      </c>
      <c r="R17">
        <f t="shared" si="6"/>
        <v>0.16048880333951762</v>
      </c>
      <c r="S17">
        <f>F17*R76</f>
        <v>7.900764391467445E-2</v>
      </c>
      <c r="AD17">
        <f t="shared" si="2"/>
        <v>7.900764391467445E-2</v>
      </c>
      <c r="AE17">
        <f t="shared" si="7"/>
        <v>0.53793915021948313</v>
      </c>
      <c r="AF17">
        <f t="shared" si="3"/>
        <v>0.95379216153990631</v>
      </c>
      <c r="AH17">
        <v>1.0176416604823748</v>
      </c>
      <c r="AI17" t="s">
        <v>23</v>
      </c>
    </row>
    <row r="18" spans="1:35" x14ac:dyDescent="0.3">
      <c r="A18" t="s">
        <v>29</v>
      </c>
      <c r="B18" t="s">
        <v>1</v>
      </c>
      <c r="C18">
        <v>10</v>
      </c>
      <c r="D18">
        <v>14</v>
      </c>
      <c r="E18">
        <f t="shared" si="0"/>
        <v>0.28572428571428571</v>
      </c>
      <c r="Q18">
        <f t="shared" si="1"/>
        <v>0</v>
      </c>
      <c r="R18">
        <f t="shared" si="6"/>
        <v>0.16048880333951762</v>
      </c>
      <c r="AD18">
        <f t="shared" si="2"/>
        <v>0</v>
      </c>
      <c r="AE18">
        <f t="shared" si="7"/>
        <v>0.53793915021948313</v>
      </c>
      <c r="AF18">
        <f t="shared" si="3"/>
        <v>0.4462130890538033</v>
      </c>
      <c r="AH18">
        <v>1.0000125</v>
      </c>
      <c r="AI18" t="s">
        <v>68</v>
      </c>
    </row>
    <row r="19" spans="1:35" x14ac:dyDescent="0.3">
      <c r="A19" t="s">
        <v>30</v>
      </c>
      <c r="B19" t="s">
        <v>1</v>
      </c>
      <c r="C19">
        <v>7</v>
      </c>
      <c r="D19">
        <v>14</v>
      </c>
      <c r="E19">
        <f t="shared" si="0"/>
        <v>0.50000999999999995</v>
      </c>
      <c r="Q19">
        <f t="shared" si="1"/>
        <v>0</v>
      </c>
      <c r="R19">
        <f t="shared" si="6"/>
        <v>0.16048880333951762</v>
      </c>
      <c r="AD19">
        <f t="shared" si="2"/>
        <v>0</v>
      </c>
      <c r="AE19">
        <f t="shared" si="7"/>
        <v>0.53793915021948313</v>
      </c>
      <c r="AF19">
        <f t="shared" si="3"/>
        <v>0.6604988033395176</v>
      </c>
      <c r="AH19">
        <v>0.95672216700315393</v>
      </c>
      <c r="AI19" t="s">
        <v>24</v>
      </c>
    </row>
    <row r="20" spans="1:35" x14ac:dyDescent="0.3">
      <c r="A20" t="s">
        <v>31</v>
      </c>
      <c r="B20" t="s">
        <v>1</v>
      </c>
      <c r="C20">
        <v>5</v>
      </c>
      <c r="D20">
        <v>14</v>
      </c>
      <c r="E20">
        <f t="shared" si="0"/>
        <v>0.64286714285714275</v>
      </c>
      <c r="Q20">
        <f t="shared" si="1"/>
        <v>0</v>
      </c>
      <c r="R20">
        <f t="shared" si="6"/>
        <v>0.16048880333951762</v>
      </c>
      <c r="AD20">
        <f t="shared" si="2"/>
        <v>0</v>
      </c>
      <c r="AE20">
        <f t="shared" si="7"/>
        <v>0.53793915021948313</v>
      </c>
      <c r="AF20">
        <f t="shared" si="3"/>
        <v>0.8033559461966604</v>
      </c>
      <c r="AH20">
        <v>0.95379216153990631</v>
      </c>
      <c r="AI20" t="s">
        <v>28</v>
      </c>
    </row>
    <row r="21" spans="1:35" x14ac:dyDescent="0.3">
      <c r="A21" t="s">
        <v>35</v>
      </c>
      <c r="B21" t="s">
        <v>1</v>
      </c>
      <c r="C21">
        <v>6</v>
      </c>
      <c r="D21">
        <v>14</v>
      </c>
      <c r="E21">
        <f t="shared" si="0"/>
        <v>0.57143857142857135</v>
      </c>
      <c r="F21">
        <f>E5</f>
        <v>0.72728272727272725</v>
      </c>
      <c r="Q21">
        <f t="shared" si="1"/>
        <v>0.72728272727272725</v>
      </c>
      <c r="R21">
        <f t="shared" si="6"/>
        <v>0.16048880333951762</v>
      </c>
      <c r="S21">
        <f>F21*R2</f>
        <v>8.406453249480518E-2</v>
      </c>
      <c r="AD21">
        <f t="shared" si="2"/>
        <v>8.406453249480518E-2</v>
      </c>
      <c r="AE21">
        <f t="shared" si="7"/>
        <v>0.53793915021948313</v>
      </c>
      <c r="AF21">
        <f t="shared" si="3"/>
        <v>0.81599190726289417</v>
      </c>
      <c r="AH21">
        <v>0.93377896103896085</v>
      </c>
      <c r="AI21" t="s">
        <v>20</v>
      </c>
    </row>
    <row r="22" spans="1:35" x14ac:dyDescent="0.3">
      <c r="A22" t="s">
        <v>32</v>
      </c>
      <c r="B22" t="s">
        <v>1</v>
      </c>
      <c r="C22">
        <v>8</v>
      </c>
      <c r="D22">
        <v>14</v>
      </c>
      <c r="E22">
        <f t="shared" si="0"/>
        <v>0.42858142857142861</v>
      </c>
      <c r="Q22">
        <f t="shared" si="1"/>
        <v>0</v>
      </c>
      <c r="R22">
        <f t="shared" si="6"/>
        <v>0.16048880333951762</v>
      </c>
      <c r="AD22">
        <f t="shared" si="2"/>
        <v>0</v>
      </c>
      <c r="AE22">
        <f t="shared" si="7"/>
        <v>0.53793915021948313</v>
      </c>
      <c r="AF22">
        <f t="shared" si="3"/>
        <v>0.58907023191094621</v>
      </c>
      <c r="AH22">
        <v>0.92630957214930421</v>
      </c>
      <c r="AI22" t="s">
        <v>52</v>
      </c>
    </row>
    <row r="23" spans="1:35" x14ac:dyDescent="0.3">
      <c r="A23" t="s">
        <v>33</v>
      </c>
      <c r="B23" t="s">
        <v>1</v>
      </c>
      <c r="C23">
        <v>11</v>
      </c>
      <c r="D23">
        <v>14</v>
      </c>
      <c r="E23">
        <f t="shared" si="0"/>
        <v>0.21429571428571431</v>
      </c>
      <c r="Q23">
        <f t="shared" si="1"/>
        <v>0</v>
      </c>
      <c r="R23">
        <f t="shared" si="6"/>
        <v>0.16048880333951762</v>
      </c>
      <c r="AD23">
        <f t="shared" si="2"/>
        <v>0</v>
      </c>
      <c r="AE23">
        <f t="shared" si="7"/>
        <v>0.53793915021948313</v>
      </c>
      <c r="AF23">
        <f t="shared" si="3"/>
        <v>0.37478451762523191</v>
      </c>
      <c r="AH23">
        <v>0.88258527187616465</v>
      </c>
      <c r="AI23" t="s">
        <v>86</v>
      </c>
    </row>
    <row r="24" spans="1:35" x14ac:dyDescent="0.3">
      <c r="A24" t="s">
        <v>34</v>
      </c>
      <c r="B24" t="s">
        <v>1</v>
      </c>
      <c r="C24">
        <v>13</v>
      </c>
      <c r="D24">
        <v>14</v>
      </c>
      <c r="E24">
        <f t="shared" si="0"/>
        <v>7.1438571428571393E-2</v>
      </c>
      <c r="Q24">
        <f t="shared" si="1"/>
        <v>0</v>
      </c>
      <c r="R24">
        <f t="shared" si="6"/>
        <v>0.16048880333951762</v>
      </c>
      <c r="AD24">
        <f t="shared" si="2"/>
        <v>0</v>
      </c>
      <c r="AE24">
        <f t="shared" si="7"/>
        <v>0.53793915021948313</v>
      </c>
      <c r="AF24">
        <f t="shared" si="3"/>
        <v>0.231927374768089</v>
      </c>
      <c r="AH24">
        <v>0.86884816883116867</v>
      </c>
      <c r="AI24" t="s">
        <v>42</v>
      </c>
    </row>
    <row r="25" spans="1:35" x14ac:dyDescent="0.3">
      <c r="A25" t="s">
        <v>36</v>
      </c>
      <c r="B25" t="s">
        <v>1</v>
      </c>
      <c r="C25">
        <v>12</v>
      </c>
      <c r="D25">
        <v>14</v>
      </c>
      <c r="E25">
        <f t="shared" si="0"/>
        <v>0.14286714285714291</v>
      </c>
      <c r="F25">
        <f>E10</f>
        <v>1.0000000000000001E-5</v>
      </c>
      <c r="G25">
        <f>E75</f>
        <v>0.28572428571428571</v>
      </c>
      <c r="Q25">
        <f t="shared" si="1"/>
        <v>0.28573428571428572</v>
      </c>
      <c r="R25">
        <f t="shared" si="6"/>
        <v>0.16048880333951762</v>
      </c>
      <c r="S25">
        <f>F25*R2</f>
        <v>1.1558714285714285E-6</v>
      </c>
      <c r="T25">
        <f>G25*R37</f>
        <v>7.5033379676517353E-2</v>
      </c>
      <c r="AD25">
        <f t="shared" si="2"/>
        <v>7.5034535547945924E-2</v>
      </c>
      <c r="AE25">
        <f t="shared" si="7"/>
        <v>0.53793915021948313</v>
      </c>
      <c r="AF25">
        <f t="shared" si="3"/>
        <v>0.37839048174460643</v>
      </c>
      <c r="AH25">
        <v>0.84793634794295492</v>
      </c>
      <c r="AI25" t="s">
        <v>53</v>
      </c>
    </row>
    <row r="26" spans="1:35" x14ac:dyDescent="0.3">
      <c r="A26" t="s">
        <v>37</v>
      </c>
      <c r="B26" t="s">
        <v>1</v>
      </c>
      <c r="C26">
        <v>14</v>
      </c>
      <c r="D26">
        <v>14</v>
      </c>
      <c r="E26">
        <f t="shared" si="0"/>
        <v>1.0000000000000001E-5</v>
      </c>
      <c r="F26">
        <f>E36</f>
        <v>1.0000000000000001E-5</v>
      </c>
      <c r="G26">
        <f>E47</f>
        <v>7.1438571428571393E-2</v>
      </c>
      <c r="Q26">
        <f t="shared" si="1"/>
        <v>7.1448571428571389E-2</v>
      </c>
      <c r="R26">
        <f t="shared" si="6"/>
        <v>0.16048880333951762</v>
      </c>
      <c r="S26">
        <f>F26*R27</f>
        <v>2.6883816883116882E-6</v>
      </c>
      <c r="T26">
        <f>G26*R37</f>
        <v>1.8760314476411331E-2</v>
      </c>
      <c r="AD26">
        <f t="shared" si="2"/>
        <v>1.8763002858099641E-2</v>
      </c>
      <c r="AE26">
        <f t="shared" si="7"/>
        <v>0.53793915021948313</v>
      </c>
      <c r="AF26">
        <f t="shared" si="3"/>
        <v>0.17926180619761725</v>
      </c>
      <c r="AH26">
        <v>0.84286987012987002</v>
      </c>
      <c r="AI26" t="s">
        <v>4</v>
      </c>
    </row>
    <row r="27" spans="1:35" x14ac:dyDescent="0.3">
      <c r="A27" t="s">
        <v>38</v>
      </c>
      <c r="B27" t="s">
        <v>39</v>
      </c>
      <c r="C27">
        <v>3</v>
      </c>
      <c r="D27">
        <v>10</v>
      </c>
      <c r="E27">
        <f t="shared" si="0"/>
        <v>0.70000999999999991</v>
      </c>
      <c r="F27">
        <f>E12</f>
        <v>0.18182818181818178</v>
      </c>
      <c r="G27">
        <f>E49</f>
        <v>0.14286714285714291</v>
      </c>
      <c r="Q27">
        <f t="shared" si="1"/>
        <v>0.32469532467532469</v>
      </c>
      <c r="R27">
        <f>SUM(Q27:Q36)/10</f>
        <v>0.26883816883116879</v>
      </c>
      <c r="S27">
        <f>F27*R2</f>
        <v>2.101700002727272E-2</v>
      </c>
      <c r="T27">
        <f>G27*R37</f>
        <v>3.7518002876446695E-2</v>
      </c>
      <c r="AD27">
        <f t="shared" si="2"/>
        <v>5.8535002903719414E-2</v>
      </c>
      <c r="AE27">
        <f>SUM(AD27:AD36)</f>
        <v>0.33807173575653315</v>
      </c>
      <c r="AF27">
        <f t="shared" si="3"/>
        <v>1.027383171734888</v>
      </c>
      <c r="AH27">
        <v>0.83404620902906612</v>
      </c>
      <c r="AI27" t="s">
        <v>54</v>
      </c>
    </row>
    <row r="28" spans="1:35" x14ac:dyDescent="0.3">
      <c r="A28" t="s">
        <v>40</v>
      </c>
      <c r="B28" t="s">
        <v>39</v>
      </c>
      <c r="C28">
        <v>1</v>
      </c>
      <c r="D28">
        <v>10</v>
      </c>
      <c r="E28">
        <f t="shared" si="0"/>
        <v>0.90000999999999998</v>
      </c>
      <c r="F28">
        <f>E7</f>
        <v>0.54546454545454537</v>
      </c>
      <c r="Q28">
        <f t="shared" si="1"/>
        <v>0.54546454545454537</v>
      </c>
      <c r="R28">
        <f>R27</f>
        <v>0.26883816883116879</v>
      </c>
      <c r="S28">
        <f>F28*R2</f>
        <v>6.3048688338961018E-2</v>
      </c>
      <c r="AD28">
        <f t="shared" si="2"/>
        <v>6.3048688338961018E-2</v>
      </c>
      <c r="AE28">
        <f>AE27</f>
        <v>0.33807173575653315</v>
      </c>
      <c r="AF28">
        <f t="shared" si="3"/>
        <v>1.2318968571701299</v>
      </c>
      <c r="AH28">
        <v>0.83334583333333334</v>
      </c>
      <c r="AI28" t="s">
        <v>69</v>
      </c>
    </row>
    <row r="29" spans="1:35" x14ac:dyDescent="0.3">
      <c r="A29" t="s">
        <v>41</v>
      </c>
      <c r="B29" t="s">
        <v>39</v>
      </c>
      <c r="C29">
        <v>2</v>
      </c>
      <c r="D29">
        <v>10</v>
      </c>
      <c r="E29">
        <f t="shared" si="0"/>
        <v>0.80001</v>
      </c>
      <c r="Q29">
        <f t="shared" si="1"/>
        <v>0</v>
      </c>
      <c r="R29">
        <f t="shared" ref="R29:R36" si="8">R28</f>
        <v>0.26883816883116879</v>
      </c>
      <c r="AD29">
        <f t="shared" si="2"/>
        <v>0</v>
      </c>
      <c r="AE29">
        <f t="shared" ref="AE29:AE37" si="9">AE28</f>
        <v>0.33807173575653315</v>
      </c>
      <c r="AF29">
        <f t="shared" si="3"/>
        <v>1.0688481688311688</v>
      </c>
      <c r="AH29">
        <v>0.81599190726289417</v>
      </c>
      <c r="AI29" t="s">
        <v>35</v>
      </c>
    </row>
    <row r="30" spans="1:35" x14ac:dyDescent="0.3">
      <c r="A30" t="s">
        <v>42</v>
      </c>
      <c r="B30" t="s">
        <v>39</v>
      </c>
      <c r="C30">
        <v>4</v>
      </c>
      <c r="D30">
        <v>10</v>
      </c>
      <c r="E30">
        <f t="shared" si="0"/>
        <v>0.60000999999999993</v>
      </c>
      <c r="Q30">
        <f t="shared" si="1"/>
        <v>0</v>
      </c>
      <c r="R30">
        <f t="shared" si="8"/>
        <v>0.26883816883116879</v>
      </c>
      <c r="AD30">
        <f t="shared" si="2"/>
        <v>0</v>
      </c>
      <c r="AE30">
        <f t="shared" si="9"/>
        <v>0.33807173575653315</v>
      </c>
      <c r="AF30">
        <f t="shared" si="3"/>
        <v>0.86884816883116867</v>
      </c>
      <c r="AH30">
        <v>0.80428638762549465</v>
      </c>
      <c r="AI30" t="s">
        <v>55</v>
      </c>
    </row>
    <row r="31" spans="1:35" x14ac:dyDescent="0.3">
      <c r="A31" t="s">
        <v>43</v>
      </c>
      <c r="B31" t="s">
        <v>39</v>
      </c>
      <c r="C31">
        <v>5</v>
      </c>
      <c r="D31">
        <v>10</v>
      </c>
      <c r="E31">
        <f t="shared" si="0"/>
        <v>0.50000999999999995</v>
      </c>
      <c r="F31">
        <f>E61</f>
        <v>8.3343333333333366E-2</v>
      </c>
      <c r="Q31">
        <f t="shared" si="1"/>
        <v>8.3343333333333366E-2</v>
      </c>
      <c r="R31">
        <f t="shared" si="8"/>
        <v>0.26883816883116879</v>
      </c>
      <c r="S31">
        <f>F31*R52</f>
        <v>6.9454861361111153E-3</v>
      </c>
      <c r="AD31">
        <f t="shared" si="2"/>
        <v>6.9454861361111153E-3</v>
      </c>
      <c r="AE31">
        <f t="shared" si="9"/>
        <v>0.33807173575653315</v>
      </c>
      <c r="AF31">
        <f t="shared" si="3"/>
        <v>0.77579365496727992</v>
      </c>
      <c r="AH31">
        <v>0.8033559461966604</v>
      </c>
      <c r="AI31" t="s">
        <v>31</v>
      </c>
    </row>
    <row r="32" spans="1:35" x14ac:dyDescent="0.3">
      <c r="A32" t="s">
        <v>44</v>
      </c>
      <c r="B32" t="s">
        <v>39</v>
      </c>
      <c r="C32">
        <v>7</v>
      </c>
      <c r="D32">
        <v>10</v>
      </c>
      <c r="E32">
        <f t="shared" si="0"/>
        <v>0.30001000000000005</v>
      </c>
      <c r="Q32">
        <f t="shared" si="1"/>
        <v>0</v>
      </c>
      <c r="R32">
        <f t="shared" si="8"/>
        <v>0.26883816883116879</v>
      </c>
      <c r="AD32">
        <f t="shared" si="2"/>
        <v>0</v>
      </c>
      <c r="AE32">
        <f t="shared" si="9"/>
        <v>0.33807173575653315</v>
      </c>
      <c r="AF32">
        <f t="shared" si="3"/>
        <v>0.56884816883116884</v>
      </c>
      <c r="AH32">
        <v>0.79726656153370445</v>
      </c>
      <c r="AI32" t="s">
        <v>88</v>
      </c>
    </row>
    <row r="33" spans="1:35" x14ac:dyDescent="0.3">
      <c r="A33" t="s">
        <v>45</v>
      </c>
      <c r="B33" t="s">
        <v>39</v>
      </c>
      <c r="C33">
        <v>6</v>
      </c>
      <c r="D33">
        <v>10</v>
      </c>
      <c r="E33">
        <f t="shared" si="0"/>
        <v>0.40001000000000003</v>
      </c>
      <c r="F33">
        <f>E19</f>
        <v>0.50000999999999995</v>
      </c>
      <c r="Q33">
        <f t="shared" si="1"/>
        <v>0.50000999999999995</v>
      </c>
      <c r="R33">
        <f t="shared" si="8"/>
        <v>0.26883816883116879</v>
      </c>
      <c r="S33">
        <f>F33*R13</f>
        <v>8.0246006557792196E-2</v>
      </c>
      <c r="AD33">
        <f t="shared" si="2"/>
        <v>8.0246006557792196E-2</v>
      </c>
      <c r="AE33">
        <f t="shared" si="9"/>
        <v>0.33807173575653315</v>
      </c>
      <c r="AF33">
        <f t="shared" si="3"/>
        <v>0.74909417538896106</v>
      </c>
      <c r="AH33">
        <v>0.77579365496727992</v>
      </c>
      <c r="AI33" t="s">
        <v>43</v>
      </c>
    </row>
    <row r="34" spans="1:35" x14ac:dyDescent="0.3">
      <c r="A34" t="s">
        <v>46</v>
      </c>
      <c r="B34" t="s">
        <v>39</v>
      </c>
      <c r="C34">
        <v>9</v>
      </c>
      <c r="D34">
        <v>10</v>
      </c>
      <c r="E34">
        <f t="shared" si="0"/>
        <v>0.10000999999999997</v>
      </c>
      <c r="F34">
        <f>E2</f>
        <v>0.81819181818181808</v>
      </c>
      <c r="Q34">
        <f t="shared" si="1"/>
        <v>0.81819181818181808</v>
      </c>
      <c r="R34">
        <f t="shared" si="8"/>
        <v>0.26883816883116879</v>
      </c>
      <c r="S34">
        <f>F34*R2</f>
        <v>9.4572454572727241E-2</v>
      </c>
      <c r="AD34">
        <f t="shared" si="2"/>
        <v>9.4572454572727241E-2</v>
      </c>
      <c r="AE34">
        <f t="shared" si="9"/>
        <v>0.33807173575653315</v>
      </c>
      <c r="AF34">
        <f t="shared" si="3"/>
        <v>0.463420623403896</v>
      </c>
      <c r="AH34">
        <v>0.7519607792207792</v>
      </c>
      <c r="AI34" t="s">
        <v>5</v>
      </c>
    </row>
    <row r="35" spans="1:35" x14ac:dyDescent="0.3">
      <c r="A35" t="s">
        <v>47</v>
      </c>
      <c r="B35" t="s">
        <v>39</v>
      </c>
      <c r="C35">
        <v>8</v>
      </c>
      <c r="D35">
        <v>10</v>
      </c>
      <c r="E35">
        <f t="shared" si="0"/>
        <v>0.20000999999999997</v>
      </c>
      <c r="F35">
        <f>E60</f>
        <v>0.41667666666666664</v>
      </c>
      <c r="Q35">
        <f t="shared" si="1"/>
        <v>0.41667666666666664</v>
      </c>
      <c r="R35">
        <f t="shared" si="8"/>
        <v>0.26883816883116879</v>
      </c>
      <c r="S35">
        <f>F35*R52</f>
        <v>3.4724097247222224E-2</v>
      </c>
      <c r="AD35">
        <f t="shared" si="2"/>
        <v>3.4724097247222224E-2</v>
      </c>
      <c r="AE35">
        <f t="shared" si="9"/>
        <v>0.33807173575653315</v>
      </c>
      <c r="AF35">
        <f t="shared" si="3"/>
        <v>0.50357226607839101</v>
      </c>
      <c r="AH35">
        <v>0.75143744336692286</v>
      </c>
      <c r="AI35" t="s">
        <v>59</v>
      </c>
    </row>
    <row r="36" spans="1:35" x14ac:dyDescent="0.3">
      <c r="A36" t="s">
        <v>48</v>
      </c>
      <c r="B36" t="s">
        <v>39</v>
      </c>
      <c r="C36">
        <v>10</v>
      </c>
      <c r="D36">
        <v>10</v>
      </c>
      <c r="E36">
        <f t="shared" si="0"/>
        <v>1.0000000000000001E-5</v>
      </c>
      <c r="Q36">
        <f t="shared" si="1"/>
        <v>0</v>
      </c>
      <c r="R36">
        <f t="shared" si="8"/>
        <v>0.26883816883116879</v>
      </c>
      <c r="AD36">
        <f t="shared" si="2"/>
        <v>0</v>
      </c>
      <c r="AE36">
        <f t="shared" si="9"/>
        <v>0.33807173575653315</v>
      </c>
      <c r="AF36">
        <f t="shared" si="3"/>
        <v>0.2688481688311688</v>
      </c>
      <c r="AH36">
        <v>0.75001250000000008</v>
      </c>
      <c r="AI36" t="s">
        <v>70</v>
      </c>
    </row>
    <row r="37" spans="1:35" x14ac:dyDescent="0.3">
      <c r="A37" t="s">
        <v>49</v>
      </c>
      <c r="B37" t="s">
        <v>50</v>
      </c>
      <c r="C37">
        <v>3</v>
      </c>
      <c r="D37">
        <v>14</v>
      </c>
      <c r="E37">
        <f t="shared" si="0"/>
        <v>0.78572428571428565</v>
      </c>
      <c r="F37">
        <f>E20</f>
        <v>0.64286714285714275</v>
      </c>
      <c r="Q37">
        <f t="shared" si="1"/>
        <v>0.64286714285714275</v>
      </c>
      <c r="R37">
        <f>SUM(Q37:Q50)/14</f>
        <v>0.26260763760049471</v>
      </c>
      <c r="S37">
        <f>F37*R13</f>
        <v>0.10317297846343756</v>
      </c>
      <c r="AD37">
        <f t="shared" si="2"/>
        <v>0.10317297846343756</v>
      </c>
      <c r="AE37" t="s">
        <v>113</v>
      </c>
      <c r="AF37">
        <f t="shared" si="3"/>
        <v>1.151504901778218</v>
      </c>
      <c r="AH37">
        <v>0.74909417538896106</v>
      </c>
      <c r="AI37" t="s">
        <v>45</v>
      </c>
    </row>
    <row r="38" spans="1:35" x14ac:dyDescent="0.3">
      <c r="A38" t="s">
        <v>51</v>
      </c>
      <c r="B38" t="s">
        <v>50</v>
      </c>
      <c r="C38">
        <v>2</v>
      </c>
      <c r="D38">
        <v>14</v>
      </c>
      <c r="E38">
        <f t="shared" si="0"/>
        <v>0.85715285714285716</v>
      </c>
      <c r="F38">
        <f>E7</f>
        <v>0.54546454545454537</v>
      </c>
      <c r="Q38">
        <f t="shared" si="1"/>
        <v>0.54546454545454537</v>
      </c>
      <c r="R38">
        <f>R37</f>
        <v>0.26260763760049471</v>
      </c>
      <c r="S38">
        <f>F38*R2</f>
        <v>6.3048688338961018E-2</v>
      </c>
      <c r="AD38">
        <f t="shared" si="2"/>
        <v>6.3048688338961018E-2</v>
      </c>
      <c r="AF38">
        <f t="shared" si="3"/>
        <v>1.1828091830823129</v>
      </c>
      <c r="AH38">
        <v>0.72583799010513295</v>
      </c>
      <c r="AI38" t="s">
        <v>82</v>
      </c>
    </row>
    <row r="39" spans="1:35" x14ac:dyDescent="0.3">
      <c r="A39" t="s">
        <v>52</v>
      </c>
      <c r="B39" t="s">
        <v>50</v>
      </c>
      <c r="C39">
        <v>1</v>
      </c>
      <c r="D39">
        <v>14</v>
      </c>
      <c r="E39">
        <f t="shared" si="0"/>
        <v>0.92858142857142856</v>
      </c>
      <c r="F39">
        <f>E57</f>
        <v>0.25001000000000001</v>
      </c>
      <c r="Q39">
        <f t="shared" si="1"/>
        <v>0.25001000000000001</v>
      </c>
      <c r="R39">
        <f t="shared" ref="R39:R50" si="10">R38</f>
        <v>0.26260763760049471</v>
      </c>
      <c r="S39">
        <f>F39*R52</f>
        <v>2.083479169166667E-2</v>
      </c>
      <c r="AD39">
        <f t="shared" si="2"/>
        <v>2.083479169166667E-2</v>
      </c>
      <c r="AF39">
        <f t="shared" si="3"/>
        <v>1.21202385786359</v>
      </c>
      <c r="AH39">
        <v>0.7193521582268928</v>
      </c>
      <c r="AI39" t="s">
        <v>73</v>
      </c>
    </row>
    <row r="40" spans="1:35" x14ac:dyDescent="0.3">
      <c r="A40" t="s">
        <v>53</v>
      </c>
      <c r="B40" t="s">
        <v>50</v>
      </c>
      <c r="C40">
        <v>5</v>
      </c>
      <c r="D40">
        <v>14</v>
      </c>
      <c r="E40">
        <f t="shared" si="0"/>
        <v>0.64286714285714275</v>
      </c>
      <c r="F40">
        <f>E62</f>
        <v>0.16667666666666664</v>
      </c>
      <c r="Q40">
        <f t="shared" si="1"/>
        <v>0.16667666666666664</v>
      </c>
      <c r="R40">
        <f t="shared" si="10"/>
        <v>0.26260763760049471</v>
      </c>
      <c r="S40">
        <f>F40*R52</f>
        <v>1.3890138913888888E-2</v>
      </c>
      <c r="AD40">
        <f t="shared" si="2"/>
        <v>1.3890138913888888E-2</v>
      </c>
      <c r="AF40">
        <f t="shared" si="3"/>
        <v>0.91936491937152631</v>
      </c>
      <c r="AH40">
        <v>0.69118906617192333</v>
      </c>
      <c r="AI40" t="s">
        <v>60</v>
      </c>
    </row>
    <row r="41" spans="1:35" x14ac:dyDescent="0.3">
      <c r="A41" t="s">
        <v>54</v>
      </c>
      <c r="B41" t="s">
        <v>50</v>
      </c>
      <c r="C41">
        <v>6</v>
      </c>
      <c r="D41">
        <v>14</v>
      </c>
      <c r="E41">
        <f t="shared" si="0"/>
        <v>0.57143857142857135</v>
      </c>
      <c r="Q41">
        <f t="shared" si="1"/>
        <v>0</v>
      </c>
      <c r="R41">
        <f t="shared" si="10"/>
        <v>0.26260763760049471</v>
      </c>
      <c r="AD41">
        <f t="shared" si="2"/>
        <v>0</v>
      </c>
      <c r="AF41">
        <f t="shared" si="3"/>
        <v>0.83404620902906612</v>
      </c>
      <c r="AH41">
        <v>0.68991441218042238</v>
      </c>
      <c r="AI41" t="s">
        <v>11</v>
      </c>
    </row>
    <row r="42" spans="1:35" x14ac:dyDescent="0.3">
      <c r="A42" t="s">
        <v>55</v>
      </c>
      <c r="B42" t="s">
        <v>50</v>
      </c>
      <c r="C42">
        <v>7</v>
      </c>
      <c r="D42">
        <v>14</v>
      </c>
      <c r="E42">
        <f t="shared" si="0"/>
        <v>0.50000999999999995</v>
      </c>
      <c r="F42">
        <f>E56</f>
        <v>0.50000999999999995</v>
      </c>
      <c r="Q42">
        <f t="shared" si="1"/>
        <v>0.50000999999999995</v>
      </c>
      <c r="R42">
        <f t="shared" si="10"/>
        <v>0.26260763760049471</v>
      </c>
      <c r="S42">
        <f>F42*R52</f>
        <v>4.1668750025E-2</v>
      </c>
      <c r="AD42">
        <f t="shared" si="2"/>
        <v>4.1668750025E-2</v>
      </c>
      <c r="AF42">
        <f t="shared" si="3"/>
        <v>0.80428638762549465</v>
      </c>
      <c r="AH42">
        <v>0.66105168831168815</v>
      </c>
      <c r="AI42" t="s">
        <v>6</v>
      </c>
    </row>
    <row r="43" spans="1:35" x14ac:dyDescent="0.3">
      <c r="A43" t="s">
        <v>56</v>
      </c>
      <c r="B43" t="s">
        <v>57</v>
      </c>
      <c r="C43">
        <v>4</v>
      </c>
      <c r="D43">
        <v>14</v>
      </c>
      <c r="E43">
        <f t="shared" si="0"/>
        <v>0.71429571428571426</v>
      </c>
      <c r="F43">
        <f>E30</f>
        <v>0.60000999999999993</v>
      </c>
      <c r="Q43">
        <f t="shared" si="1"/>
        <v>0.60000999999999993</v>
      </c>
      <c r="R43">
        <f t="shared" si="10"/>
        <v>0.26260763760049471</v>
      </c>
      <c r="S43">
        <f>F43*R27</f>
        <v>0.16130558968038958</v>
      </c>
      <c r="AD43">
        <f t="shared" si="2"/>
        <v>0.16130558968038958</v>
      </c>
      <c r="AF43">
        <f t="shared" si="3"/>
        <v>1.1382089415665986</v>
      </c>
      <c r="AH43">
        <v>0.6604988033395176</v>
      </c>
      <c r="AI43" t="s">
        <v>30</v>
      </c>
    </row>
    <row r="44" spans="1:35" x14ac:dyDescent="0.3">
      <c r="A44" t="s">
        <v>58</v>
      </c>
      <c r="B44" t="s">
        <v>50</v>
      </c>
      <c r="C44">
        <v>10</v>
      </c>
      <c r="D44">
        <v>14</v>
      </c>
      <c r="E44">
        <f t="shared" si="0"/>
        <v>0.28572428571428571</v>
      </c>
      <c r="F44">
        <f>E33</f>
        <v>0.40001000000000003</v>
      </c>
      <c r="Q44">
        <f t="shared" si="1"/>
        <v>0.40001000000000003</v>
      </c>
      <c r="R44">
        <f t="shared" si="10"/>
        <v>0.26260763760049471</v>
      </c>
      <c r="S44">
        <f>F44*R27</f>
        <v>0.10753795591415584</v>
      </c>
      <c r="AD44">
        <f t="shared" si="2"/>
        <v>0.10753795591415584</v>
      </c>
      <c r="AF44">
        <f t="shared" si="3"/>
        <v>0.65586987922893625</v>
      </c>
      <c r="AH44">
        <v>0.65653745766487326</v>
      </c>
      <c r="AI44" t="s">
        <v>92</v>
      </c>
    </row>
    <row r="45" spans="1:35" x14ac:dyDescent="0.3">
      <c r="A45" t="s">
        <v>59</v>
      </c>
      <c r="B45" t="s">
        <v>50</v>
      </c>
      <c r="C45">
        <v>9</v>
      </c>
      <c r="D45">
        <v>14</v>
      </c>
      <c r="E45">
        <f t="shared" si="0"/>
        <v>0.35715285714285711</v>
      </c>
      <c r="F45">
        <f>E66</f>
        <v>0.35715285714285711</v>
      </c>
      <c r="Q45">
        <f t="shared" si="1"/>
        <v>0.35715285714285711</v>
      </c>
      <c r="R45">
        <f t="shared" si="10"/>
        <v>0.26260763760049471</v>
      </c>
      <c r="S45">
        <f>F45*R64</f>
        <v>0.13167694862357099</v>
      </c>
      <c r="AD45">
        <f t="shared" si="2"/>
        <v>0.13167694862357099</v>
      </c>
      <c r="AF45">
        <f t="shared" si="3"/>
        <v>0.75143744336692286</v>
      </c>
      <c r="AH45">
        <v>0.65586987922893625</v>
      </c>
      <c r="AI45" t="s">
        <v>58</v>
      </c>
    </row>
    <row r="46" spans="1:35" x14ac:dyDescent="0.3">
      <c r="A46" t="s">
        <v>60</v>
      </c>
      <c r="B46" t="s">
        <v>50</v>
      </c>
      <c r="C46">
        <v>8</v>
      </c>
      <c r="D46">
        <v>14</v>
      </c>
      <c r="E46">
        <f t="shared" si="0"/>
        <v>0.42858142857142861</v>
      </c>
      <c r="Q46">
        <f t="shared" si="1"/>
        <v>0</v>
      </c>
      <c r="R46">
        <f t="shared" si="10"/>
        <v>0.26260763760049471</v>
      </c>
      <c r="AD46">
        <f t="shared" si="2"/>
        <v>0</v>
      </c>
      <c r="AF46">
        <f t="shared" si="3"/>
        <v>0.69118906617192333</v>
      </c>
      <c r="AH46">
        <v>0.65440941867656155</v>
      </c>
      <c r="AI46" t="s">
        <v>91</v>
      </c>
    </row>
    <row r="47" spans="1:35" x14ac:dyDescent="0.3">
      <c r="A47" t="s">
        <v>61</v>
      </c>
      <c r="B47" t="s">
        <v>57</v>
      </c>
      <c r="C47">
        <v>13</v>
      </c>
      <c r="D47">
        <v>14</v>
      </c>
      <c r="E47">
        <f t="shared" si="0"/>
        <v>7.1438571428571393E-2</v>
      </c>
      <c r="Q47">
        <f t="shared" si="1"/>
        <v>0</v>
      </c>
      <c r="R47">
        <f t="shared" si="10"/>
        <v>0.26260763760049471</v>
      </c>
      <c r="AD47">
        <f t="shared" si="2"/>
        <v>0</v>
      </c>
      <c r="AF47">
        <f t="shared" si="3"/>
        <v>0.33404620902906612</v>
      </c>
      <c r="AH47">
        <v>0.63019041695896272</v>
      </c>
      <c r="AI47" t="s">
        <v>27</v>
      </c>
    </row>
    <row r="48" spans="1:35" x14ac:dyDescent="0.3">
      <c r="A48" t="s">
        <v>62</v>
      </c>
      <c r="B48" t="s">
        <v>57</v>
      </c>
      <c r="C48">
        <v>11</v>
      </c>
      <c r="D48">
        <v>14</v>
      </c>
      <c r="E48">
        <f t="shared" si="0"/>
        <v>0.21429571428571431</v>
      </c>
      <c r="F48">
        <f>E10</f>
        <v>1.0000000000000001E-5</v>
      </c>
      <c r="G48">
        <f>E23</f>
        <v>0.21429571428571431</v>
      </c>
      <c r="Q48">
        <f t="shared" si="1"/>
        <v>0.21430571428571432</v>
      </c>
      <c r="R48">
        <f t="shared" si="10"/>
        <v>0.26260763760049471</v>
      </c>
      <c r="S48">
        <f>F48*R2</f>
        <v>1.1558714285714285E-6</v>
      </c>
      <c r="T48">
        <f>G48*R13</f>
        <v>3.4392062746501459E-2</v>
      </c>
      <c r="AD48">
        <f t="shared" si="2"/>
        <v>3.439321861793003E-2</v>
      </c>
      <c r="AF48">
        <f t="shared" si="3"/>
        <v>0.51129657050413901</v>
      </c>
      <c r="AH48">
        <v>0.62391291955051953</v>
      </c>
      <c r="AI48" t="s">
        <v>3</v>
      </c>
    </row>
    <row r="49" spans="1:35" x14ac:dyDescent="0.3">
      <c r="A49" t="s">
        <v>63</v>
      </c>
      <c r="B49" t="s">
        <v>50</v>
      </c>
      <c r="C49">
        <v>12</v>
      </c>
      <c r="D49">
        <v>14</v>
      </c>
      <c r="E49">
        <f t="shared" si="0"/>
        <v>0.14286714285714291</v>
      </c>
      <c r="Q49">
        <f t="shared" si="1"/>
        <v>0</v>
      </c>
      <c r="R49">
        <f t="shared" si="10"/>
        <v>0.26260763760049471</v>
      </c>
      <c r="AD49">
        <f t="shared" si="2"/>
        <v>0</v>
      </c>
      <c r="AF49">
        <f t="shared" si="3"/>
        <v>0.40547478045763763</v>
      </c>
      <c r="AH49">
        <v>0.58907023191094621</v>
      </c>
      <c r="AI49" t="s">
        <v>32</v>
      </c>
    </row>
    <row r="50" spans="1:35" x14ac:dyDescent="0.3">
      <c r="A50" t="s">
        <v>64</v>
      </c>
      <c r="B50" t="s">
        <v>57</v>
      </c>
      <c r="C50">
        <v>14</v>
      </c>
      <c r="D50">
        <v>14</v>
      </c>
      <c r="E50">
        <f t="shared" si="0"/>
        <v>1.0000000000000001E-5</v>
      </c>
      <c r="Q50">
        <f t="shared" si="1"/>
        <v>0</v>
      </c>
      <c r="R50">
        <f t="shared" si="10"/>
        <v>0.26260763760049471</v>
      </c>
      <c r="AD50">
        <f t="shared" si="2"/>
        <v>0</v>
      </c>
      <c r="AF50">
        <f t="shared" si="3"/>
        <v>0.26261763760049472</v>
      </c>
      <c r="AH50">
        <v>0.58334583333333334</v>
      </c>
      <c r="AI50" t="s">
        <v>71</v>
      </c>
    </row>
    <row r="51" spans="1:35" x14ac:dyDescent="0.3">
      <c r="A51" t="s">
        <v>16</v>
      </c>
      <c r="B51" t="s">
        <v>65</v>
      </c>
      <c r="C51">
        <v>1</v>
      </c>
      <c r="D51">
        <v>1</v>
      </c>
      <c r="E51">
        <v>0.5</v>
      </c>
      <c r="F51">
        <f>E22</f>
        <v>0.42858142857142861</v>
      </c>
      <c r="G51">
        <f>E42</f>
        <v>0.50000999999999995</v>
      </c>
      <c r="H51">
        <f>E41</f>
        <v>0.57143857142857135</v>
      </c>
      <c r="I51">
        <f>E19</f>
        <v>0.50000999999999995</v>
      </c>
      <c r="J51">
        <f>E59</f>
        <v>0.33334333333333338</v>
      </c>
      <c r="K51">
        <f>E18</f>
        <v>0.28572428571428571</v>
      </c>
      <c r="L51">
        <f>E18</f>
        <v>0.28572428571428571</v>
      </c>
      <c r="M51">
        <f>E8</f>
        <v>0.27273727272727272</v>
      </c>
      <c r="N51">
        <f>E16</f>
        <v>0.35715285714285711</v>
      </c>
      <c r="O51">
        <f>E24</f>
        <v>7.1438571428571393E-2</v>
      </c>
      <c r="P51">
        <f>E61</f>
        <v>8.3343333333333366E-2</v>
      </c>
      <c r="Q51">
        <f t="shared" si="1"/>
        <v>3.6895039393939393</v>
      </c>
      <c r="R51">
        <f>Q51/11</f>
        <v>0.33540944903581266</v>
      </c>
      <c r="S51">
        <f>F51*R13</f>
        <v>6.8782520604969519E-2</v>
      </c>
      <c r="T51">
        <f>G51*R37</f>
        <v>0.13130644487662335</v>
      </c>
      <c r="U51">
        <f>H51*R37</f>
        <v>0.15006413327665868</v>
      </c>
      <c r="V51">
        <f>I51*R13</f>
        <v>8.0246006557792196E-2</v>
      </c>
      <c r="W51">
        <f>J51*R13</f>
        <v>5.3497872667872613E-2</v>
      </c>
      <c r="X51">
        <f>K51*R52</f>
        <v>2.381107145357143E-2</v>
      </c>
      <c r="Y51">
        <f>L51*R13</f>
        <v>4.5855548699324143E-2</v>
      </c>
      <c r="Z51">
        <f>K51*R13</f>
        <v>4.5855548699324143E-2</v>
      </c>
      <c r="AA51">
        <f>L51*R2</f>
        <v>3.3026053830612238E-2</v>
      </c>
      <c r="AB51">
        <f>O51*R13</f>
        <v>1.1465090840856076E-2</v>
      </c>
      <c r="AC51">
        <f>P51*R52</f>
        <v>6.9454861361111153E-3</v>
      </c>
      <c r="AD51">
        <f t="shared" si="2"/>
        <v>0.65085577764371561</v>
      </c>
      <c r="AF51">
        <f>AD51+E51</f>
        <v>1.1508557776437156</v>
      </c>
      <c r="AH51">
        <v>0.56884816883116884</v>
      </c>
      <c r="AI51" t="s">
        <v>44</v>
      </c>
    </row>
    <row r="52" spans="1:35" x14ac:dyDescent="0.3">
      <c r="A52" t="s">
        <v>66</v>
      </c>
      <c r="B52" t="s">
        <v>67</v>
      </c>
      <c r="C52">
        <v>2</v>
      </c>
      <c r="D52">
        <v>12</v>
      </c>
      <c r="E52">
        <f t="shared" si="0"/>
        <v>0.83334333333333332</v>
      </c>
      <c r="F52">
        <f>E38</f>
        <v>0.85715285714285716</v>
      </c>
      <c r="Q52">
        <f t="shared" si="1"/>
        <v>0.85715285714285716</v>
      </c>
      <c r="R52">
        <f>SUM(Q52:Q63)/12</f>
        <v>8.3335833333333345E-2</v>
      </c>
      <c r="S52">
        <f>F52*R38</f>
        <v>0.22509488687680004</v>
      </c>
      <c r="AD52">
        <f t="shared" si="2"/>
        <v>0.22509488687680004</v>
      </c>
      <c r="AF52">
        <f t="shared" si="3"/>
        <v>1.1417740535434668</v>
      </c>
      <c r="AH52">
        <v>0.51941530294516736</v>
      </c>
      <c r="AI52" t="s">
        <v>89</v>
      </c>
    </row>
    <row r="53" spans="1:35" x14ac:dyDescent="0.3">
      <c r="A53" t="s">
        <v>68</v>
      </c>
      <c r="B53" t="s">
        <v>67</v>
      </c>
      <c r="C53">
        <v>1</v>
      </c>
      <c r="D53">
        <v>12</v>
      </c>
      <c r="E53">
        <f t="shared" si="0"/>
        <v>0.91667666666666658</v>
      </c>
      <c r="Q53">
        <f t="shared" si="1"/>
        <v>0</v>
      </c>
      <c r="R53">
        <f>R52</f>
        <v>8.3335833333333345E-2</v>
      </c>
      <c r="AD53">
        <f t="shared" si="2"/>
        <v>0</v>
      </c>
      <c r="AF53">
        <f t="shared" si="3"/>
        <v>1.0000125</v>
      </c>
      <c r="AH53">
        <v>0.51155227581941876</v>
      </c>
      <c r="AI53" t="s">
        <v>87</v>
      </c>
    </row>
    <row r="54" spans="1:35" x14ac:dyDescent="0.3">
      <c r="A54" t="s">
        <v>69</v>
      </c>
      <c r="B54" t="s">
        <v>67</v>
      </c>
      <c r="C54">
        <v>3</v>
      </c>
      <c r="D54">
        <v>12</v>
      </c>
      <c r="E54">
        <f t="shared" si="0"/>
        <v>0.75000999999999995</v>
      </c>
      <c r="Q54">
        <f t="shared" si="1"/>
        <v>0</v>
      </c>
      <c r="R54">
        <f t="shared" ref="R54:R63" si="11">R53</f>
        <v>8.3335833333333345E-2</v>
      </c>
      <c r="AD54">
        <f t="shared" si="2"/>
        <v>0</v>
      </c>
      <c r="AF54">
        <f t="shared" si="3"/>
        <v>0.83334583333333334</v>
      </c>
      <c r="AH54">
        <v>0.51129657050413901</v>
      </c>
      <c r="AI54" t="s">
        <v>62</v>
      </c>
    </row>
    <row r="55" spans="1:35" x14ac:dyDescent="0.3">
      <c r="A55" t="s">
        <v>70</v>
      </c>
      <c r="B55" t="s">
        <v>67</v>
      </c>
      <c r="C55">
        <v>4</v>
      </c>
      <c r="D55">
        <v>12</v>
      </c>
      <c r="E55">
        <f t="shared" si="0"/>
        <v>0.6666766666666667</v>
      </c>
      <c r="Q55">
        <f t="shared" si="1"/>
        <v>0</v>
      </c>
      <c r="R55">
        <f t="shared" si="11"/>
        <v>8.3335833333333345E-2</v>
      </c>
      <c r="AD55">
        <f t="shared" si="2"/>
        <v>0</v>
      </c>
      <c r="AF55">
        <f t="shared" si="3"/>
        <v>0.75001250000000008</v>
      </c>
      <c r="AH55">
        <v>0.50357226607839101</v>
      </c>
      <c r="AI55" t="s">
        <v>47</v>
      </c>
    </row>
    <row r="56" spans="1:35" x14ac:dyDescent="0.3">
      <c r="A56" t="s">
        <v>71</v>
      </c>
      <c r="B56" t="s">
        <v>67</v>
      </c>
      <c r="C56">
        <v>6</v>
      </c>
      <c r="D56">
        <v>12</v>
      </c>
      <c r="E56">
        <f t="shared" si="0"/>
        <v>0.50000999999999995</v>
      </c>
      <c r="Q56">
        <f t="shared" si="1"/>
        <v>0</v>
      </c>
      <c r="R56">
        <f t="shared" si="11"/>
        <v>8.3335833333333345E-2</v>
      </c>
      <c r="AD56">
        <f t="shared" si="2"/>
        <v>0</v>
      </c>
      <c r="AF56">
        <f t="shared" si="3"/>
        <v>0.58334583333333334</v>
      </c>
      <c r="AH56">
        <v>0.50001249999999997</v>
      </c>
      <c r="AI56" t="s">
        <v>75</v>
      </c>
    </row>
    <row r="57" spans="1:35" x14ac:dyDescent="0.3">
      <c r="A57" t="s">
        <v>72</v>
      </c>
      <c r="B57" t="s">
        <v>67</v>
      </c>
      <c r="C57">
        <v>9</v>
      </c>
      <c r="D57">
        <v>12</v>
      </c>
      <c r="E57">
        <f t="shared" si="0"/>
        <v>0.25001000000000001</v>
      </c>
      <c r="Q57">
        <f t="shared" si="1"/>
        <v>0</v>
      </c>
      <c r="R57">
        <f t="shared" si="11"/>
        <v>8.3335833333333345E-2</v>
      </c>
      <c r="AD57">
        <f t="shared" si="2"/>
        <v>0</v>
      </c>
      <c r="AF57">
        <f t="shared" si="3"/>
        <v>0.33334583333333334</v>
      </c>
      <c r="AH57">
        <v>0.463420623403896</v>
      </c>
      <c r="AI57" t="s">
        <v>46</v>
      </c>
    </row>
    <row r="58" spans="1:35" x14ac:dyDescent="0.3">
      <c r="A58" t="s">
        <v>73</v>
      </c>
      <c r="B58" t="s">
        <v>67</v>
      </c>
      <c r="C58">
        <v>5</v>
      </c>
      <c r="D58">
        <v>12</v>
      </c>
      <c r="E58">
        <f t="shared" si="0"/>
        <v>0.58334333333333321</v>
      </c>
      <c r="F58">
        <f>E71</f>
        <v>0.14286714285714291</v>
      </c>
      <c r="Q58">
        <f t="shared" si="1"/>
        <v>0.14286714285714291</v>
      </c>
      <c r="R58">
        <f t="shared" si="11"/>
        <v>8.3335833333333345E-2</v>
      </c>
      <c r="S58">
        <f>F58*R64</f>
        <v>5.2672991560226194E-2</v>
      </c>
      <c r="AD58">
        <f t="shared" si="2"/>
        <v>5.2672991560226194E-2</v>
      </c>
      <c r="AF58">
        <f t="shared" si="3"/>
        <v>0.7193521582268928</v>
      </c>
      <c r="AH58">
        <v>0.4462130890538033</v>
      </c>
      <c r="AI58" t="s">
        <v>29</v>
      </c>
    </row>
    <row r="59" spans="1:35" x14ac:dyDescent="0.3">
      <c r="A59" t="s">
        <v>74</v>
      </c>
      <c r="B59" t="s">
        <v>67</v>
      </c>
      <c r="C59">
        <v>8</v>
      </c>
      <c r="D59">
        <v>12</v>
      </c>
      <c r="E59">
        <f t="shared" si="0"/>
        <v>0.33334333333333338</v>
      </c>
      <c r="Q59">
        <f t="shared" si="1"/>
        <v>0</v>
      </c>
      <c r="R59">
        <f t="shared" si="11"/>
        <v>8.3335833333333345E-2</v>
      </c>
      <c r="AD59">
        <f t="shared" si="2"/>
        <v>0</v>
      </c>
      <c r="AF59">
        <f t="shared" si="3"/>
        <v>0.41667916666666671</v>
      </c>
      <c r="AH59">
        <v>0.41667916666666671</v>
      </c>
      <c r="AI59" t="s">
        <v>74</v>
      </c>
    </row>
    <row r="60" spans="1:35" x14ac:dyDescent="0.3">
      <c r="A60" t="s">
        <v>75</v>
      </c>
      <c r="B60" t="s">
        <v>67</v>
      </c>
      <c r="C60">
        <v>7</v>
      </c>
      <c r="D60">
        <v>12</v>
      </c>
      <c r="E60">
        <f t="shared" si="0"/>
        <v>0.41667666666666664</v>
      </c>
      <c r="Q60">
        <f t="shared" si="1"/>
        <v>0</v>
      </c>
      <c r="R60">
        <f t="shared" si="11"/>
        <v>8.3335833333333345E-2</v>
      </c>
      <c r="AD60">
        <f t="shared" si="2"/>
        <v>0</v>
      </c>
      <c r="AF60">
        <f t="shared" si="3"/>
        <v>0.50001249999999997</v>
      </c>
      <c r="AH60">
        <v>0.40547478045763763</v>
      </c>
      <c r="AI60" t="s">
        <v>63</v>
      </c>
    </row>
    <row r="61" spans="1:35" x14ac:dyDescent="0.3">
      <c r="A61" t="s">
        <v>76</v>
      </c>
      <c r="B61" t="s">
        <v>67</v>
      </c>
      <c r="C61">
        <v>11</v>
      </c>
      <c r="D61">
        <v>12</v>
      </c>
      <c r="E61">
        <f t="shared" si="0"/>
        <v>8.3343333333333366E-2</v>
      </c>
      <c r="F61">
        <f>E77</f>
        <v>1.0000000000000001E-5</v>
      </c>
      <c r="Q61">
        <f t="shared" si="1"/>
        <v>1.0000000000000001E-5</v>
      </c>
      <c r="R61">
        <f t="shared" si="11"/>
        <v>8.3335833333333345E-2</v>
      </c>
      <c r="S61">
        <f>F61*R64</f>
        <v>3.6868513296227587E-6</v>
      </c>
      <c r="AD61">
        <f t="shared" si="2"/>
        <v>3.6868513296227587E-6</v>
      </c>
      <c r="AF61">
        <f t="shared" si="3"/>
        <v>0.16668285351799633</v>
      </c>
      <c r="AH61">
        <v>0.38832441558441555</v>
      </c>
      <c r="AI61" t="s">
        <v>7</v>
      </c>
    </row>
    <row r="62" spans="1:35" x14ac:dyDescent="0.3">
      <c r="A62" t="s">
        <v>77</v>
      </c>
      <c r="B62" t="s">
        <v>67</v>
      </c>
      <c r="C62">
        <v>10</v>
      </c>
      <c r="D62">
        <v>12</v>
      </c>
      <c r="E62">
        <f t="shared" si="0"/>
        <v>0.16667666666666664</v>
      </c>
      <c r="Q62">
        <f t="shared" si="1"/>
        <v>0</v>
      </c>
      <c r="R62">
        <f t="shared" si="11"/>
        <v>8.3335833333333345E-2</v>
      </c>
      <c r="AD62">
        <f t="shared" si="2"/>
        <v>0</v>
      </c>
      <c r="AF62">
        <f t="shared" si="3"/>
        <v>0.25001249999999997</v>
      </c>
      <c r="AH62">
        <v>0.37839048174460643</v>
      </c>
      <c r="AI62" t="s">
        <v>36</v>
      </c>
    </row>
    <row r="63" spans="1:35" x14ac:dyDescent="0.3">
      <c r="A63" t="s">
        <v>78</v>
      </c>
      <c r="B63" t="s">
        <v>67</v>
      </c>
      <c r="C63">
        <v>12</v>
      </c>
      <c r="D63">
        <v>12</v>
      </c>
      <c r="E63">
        <f t="shared" si="0"/>
        <v>1.0000000000000001E-5</v>
      </c>
      <c r="Q63">
        <f t="shared" si="1"/>
        <v>0</v>
      </c>
      <c r="R63">
        <f t="shared" si="11"/>
        <v>8.3335833333333345E-2</v>
      </c>
      <c r="AD63">
        <f t="shared" si="2"/>
        <v>0</v>
      </c>
      <c r="AF63">
        <f t="shared" si="3"/>
        <v>8.3345833333333341E-2</v>
      </c>
      <c r="AH63">
        <v>0.37478451762523191</v>
      </c>
      <c r="AI63" t="s">
        <v>33</v>
      </c>
    </row>
    <row r="64" spans="1:35" x14ac:dyDescent="0.3">
      <c r="A64" t="s">
        <v>79</v>
      </c>
      <c r="B64" t="s">
        <v>80</v>
      </c>
      <c r="C64">
        <v>1</v>
      </c>
      <c r="D64">
        <v>14</v>
      </c>
      <c r="E64">
        <f t="shared" si="0"/>
        <v>0.92858142857142856</v>
      </c>
      <c r="F64">
        <f>E17</f>
        <v>0.71429571428571426</v>
      </c>
      <c r="G64">
        <f>E24</f>
        <v>7.1438571428571393E-2</v>
      </c>
      <c r="Q64">
        <f t="shared" si="1"/>
        <v>0.78573428571428561</v>
      </c>
      <c r="R64">
        <f>SUM(Q64:Q77)/14</f>
        <v>0.36868513296227584</v>
      </c>
      <c r="S64">
        <f>F64*R23</f>
        <v>0.11463646441626027</v>
      </c>
      <c r="T64">
        <f>G64*R13</f>
        <v>1.1465090840856076E-2</v>
      </c>
      <c r="AD64">
        <f t="shared" si="2"/>
        <v>0.12610155525711636</v>
      </c>
      <c r="AF64">
        <f t="shared" si="3"/>
        <v>1.4233681167908208</v>
      </c>
      <c r="AH64">
        <v>0.36869513296227585</v>
      </c>
      <c r="AI64" t="s">
        <v>93</v>
      </c>
    </row>
    <row r="65" spans="1:35" x14ac:dyDescent="0.3">
      <c r="A65" t="s">
        <v>81</v>
      </c>
      <c r="B65" t="s">
        <v>80</v>
      </c>
      <c r="C65">
        <v>2</v>
      </c>
      <c r="D65">
        <v>14</v>
      </c>
      <c r="E65">
        <f t="shared" si="0"/>
        <v>0.85715285714285716</v>
      </c>
      <c r="F65">
        <f>E20</f>
        <v>0.64286714285714275</v>
      </c>
      <c r="Q65">
        <f t="shared" si="1"/>
        <v>0.64286714285714275</v>
      </c>
      <c r="R65">
        <f>R64</f>
        <v>0.36868513296227584</v>
      </c>
      <c r="S65">
        <f>F65*R18</f>
        <v>0.10317297846343756</v>
      </c>
      <c r="AD65">
        <f t="shared" si="2"/>
        <v>0.10317297846343756</v>
      </c>
      <c r="AF65">
        <f t="shared" si="3"/>
        <v>1.3290109685685705</v>
      </c>
      <c r="AH65">
        <v>0.33404620902906612</v>
      </c>
      <c r="AI65" t="s">
        <v>61</v>
      </c>
    </row>
    <row r="66" spans="1:35" x14ac:dyDescent="0.3">
      <c r="A66" t="s">
        <v>82</v>
      </c>
      <c r="B66" t="s">
        <v>80</v>
      </c>
      <c r="C66">
        <v>9</v>
      </c>
      <c r="D66">
        <v>14</v>
      </c>
      <c r="E66">
        <f t="shared" si="0"/>
        <v>0.35715285714285711</v>
      </c>
      <c r="Q66">
        <f t="shared" si="1"/>
        <v>0</v>
      </c>
      <c r="R66">
        <f t="shared" ref="R66:R77" si="12">R65</f>
        <v>0.36868513296227584</v>
      </c>
      <c r="AD66">
        <f t="shared" si="2"/>
        <v>0</v>
      </c>
      <c r="AF66">
        <f t="shared" si="3"/>
        <v>0.72583799010513295</v>
      </c>
      <c r="AH66">
        <v>0.33334583333333334</v>
      </c>
      <c r="AI66" t="s">
        <v>72</v>
      </c>
    </row>
    <row r="67" spans="1:35" x14ac:dyDescent="0.3">
      <c r="A67" t="s">
        <v>83</v>
      </c>
      <c r="B67" t="s">
        <v>80</v>
      </c>
      <c r="C67">
        <v>4</v>
      </c>
      <c r="D67">
        <v>14</v>
      </c>
      <c r="E67">
        <f t="shared" ref="E67:E77" si="13">SUM(1-(C67/D67)+0.00001)</f>
        <v>0.71429571428571426</v>
      </c>
      <c r="F67">
        <f>E21</f>
        <v>0.57143857142857135</v>
      </c>
      <c r="Q67">
        <f t="shared" ref="Q67:Q77" si="14">SUM(F67:P67)</f>
        <v>0.57143857142857135</v>
      </c>
      <c r="R67">
        <f t="shared" si="12"/>
        <v>0.36868513296227584</v>
      </c>
      <c r="S67">
        <f>F67*R13</f>
        <v>9.1709492510614887E-2</v>
      </c>
      <c r="AD67">
        <f t="shared" ref="AD67:AD77" si="15">SUM(S67:AC67)</f>
        <v>9.1709492510614887E-2</v>
      </c>
      <c r="AF67">
        <f t="shared" ref="AF67:AF77" si="16">AD67+E67+R67</f>
        <v>1.174690339758605</v>
      </c>
      <c r="AH67">
        <v>0.29741532467532461</v>
      </c>
      <c r="AI67" t="s">
        <v>10</v>
      </c>
    </row>
    <row r="68" spans="1:35" x14ac:dyDescent="0.3">
      <c r="A68" t="s">
        <v>84</v>
      </c>
      <c r="B68" t="s">
        <v>80</v>
      </c>
      <c r="C68">
        <v>6</v>
      </c>
      <c r="D68">
        <v>14</v>
      </c>
      <c r="E68">
        <f t="shared" si="13"/>
        <v>0.57143857142857135</v>
      </c>
      <c r="F68">
        <f>E15</f>
        <v>0.78572428571428565</v>
      </c>
      <c r="Q68">
        <f t="shared" si="14"/>
        <v>0.78572428571428565</v>
      </c>
      <c r="R68">
        <f t="shared" si="12"/>
        <v>0.36868513296227584</v>
      </c>
      <c r="S68">
        <f>F68*R24</f>
        <v>0.12609995036908295</v>
      </c>
      <c r="AD68">
        <f t="shared" si="15"/>
        <v>0.12609995036908295</v>
      </c>
      <c r="AF68">
        <f t="shared" si="16"/>
        <v>1.0662236547599302</v>
      </c>
      <c r="AH68">
        <v>0.2688481688311688</v>
      </c>
      <c r="AI68" t="s">
        <v>48</v>
      </c>
    </row>
    <row r="69" spans="1:35" x14ac:dyDescent="0.3">
      <c r="A69" t="s">
        <v>85</v>
      </c>
      <c r="B69" t="s">
        <v>80</v>
      </c>
      <c r="C69">
        <v>3</v>
      </c>
      <c r="D69">
        <v>14</v>
      </c>
      <c r="E69">
        <f t="shared" si="13"/>
        <v>0.78572428571428565</v>
      </c>
      <c r="F69">
        <f>E21</f>
        <v>0.57143857142857135</v>
      </c>
      <c r="G69">
        <f>E12</f>
        <v>0.18182818181818178</v>
      </c>
      <c r="Q69">
        <f t="shared" si="14"/>
        <v>0.75326675324675318</v>
      </c>
      <c r="R69">
        <f t="shared" si="12"/>
        <v>0.36868513296227584</v>
      </c>
      <c r="S69">
        <f>F69*R20</f>
        <v>9.1709492510614887E-2</v>
      </c>
      <c r="T69">
        <f>G69*R2</f>
        <v>2.101700002727272E-2</v>
      </c>
      <c r="AD69">
        <f t="shared" si="15"/>
        <v>0.11272649253788761</v>
      </c>
      <c r="AF69">
        <f t="shared" si="16"/>
        <v>1.2671359112144491</v>
      </c>
      <c r="AH69">
        <v>0.26261763760049472</v>
      </c>
      <c r="AI69" t="s">
        <v>64</v>
      </c>
    </row>
    <row r="70" spans="1:35" x14ac:dyDescent="0.3">
      <c r="A70" t="s">
        <v>86</v>
      </c>
      <c r="B70" t="s">
        <v>80</v>
      </c>
      <c r="C70">
        <v>7</v>
      </c>
      <c r="D70">
        <v>14</v>
      </c>
      <c r="E70">
        <f t="shared" si="13"/>
        <v>0.50000999999999995</v>
      </c>
      <c r="F70">
        <f>E62</f>
        <v>0.16667666666666664</v>
      </c>
      <c r="Q70">
        <f t="shared" si="14"/>
        <v>0.16667666666666664</v>
      </c>
      <c r="R70">
        <f t="shared" si="12"/>
        <v>0.36868513296227584</v>
      </c>
      <c r="S70">
        <f>F70*R52</f>
        <v>1.3890138913888888E-2</v>
      </c>
      <c r="AD70">
        <f t="shared" si="15"/>
        <v>1.3890138913888888E-2</v>
      </c>
      <c r="AF70">
        <f t="shared" si="16"/>
        <v>0.88258527187616465</v>
      </c>
      <c r="AH70">
        <v>0.25001249999999997</v>
      </c>
      <c r="AI70" t="s">
        <v>77</v>
      </c>
    </row>
    <row r="71" spans="1:35" x14ac:dyDescent="0.3">
      <c r="A71" t="s">
        <v>87</v>
      </c>
      <c r="B71" t="s">
        <v>80</v>
      </c>
      <c r="C71">
        <v>12</v>
      </c>
      <c r="D71">
        <v>14</v>
      </c>
      <c r="E71">
        <f t="shared" si="13"/>
        <v>0.14286714285714291</v>
      </c>
      <c r="Q71">
        <f t="shared" si="14"/>
        <v>0</v>
      </c>
      <c r="R71">
        <f t="shared" si="12"/>
        <v>0.36868513296227584</v>
      </c>
      <c r="AD71">
        <f t="shared" si="15"/>
        <v>0</v>
      </c>
      <c r="AF71">
        <f t="shared" si="16"/>
        <v>0.51155227581941876</v>
      </c>
      <c r="AH71">
        <v>0.231927374768089</v>
      </c>
      <c r="AI71" t="s">
        <v>34</v>
      </c>
    </row>
    <row r="72" spans="1:35" x14ac:dyDescent="0.3">
      <c r="A72" t="s">
        <v>88</v>
      </c>
      <c r="B72" t="s">
        <v>80</v>
      </c>
      <c r="C72">
        <v>8</v>
      </c>
      <c r="D72">
        <v>14</v>
      </c>
      <c r="E72">
        <f t="shared" si="13"/>
        <v>0.42858142857142861</v>
      </c>
      <c r="Q72">
        <f t="shared" si="14"/>
        <v>0</v>
      </c>
      <c r="R72">
        <f t="shared" si="12"/>
        <v>0.36868513296227584</v>
      </c>
      <c r="AD72">
        <f t="shared" si="15"/>
        <v>0</v>
      </c>
      <c r="AF72">
        <f t="shared" si="16"/>
        <v>0.79726656153370445</v>
      </c>
      <c r="AH72">
        <v>0.20650623376623378</v>
      </c>
      <c r="AI72" t="s">
        <v>8</v>
      </c>
    </row>
    <row r="73" spans="1:35" x14ac:dyDescent="0.3">
      <c r="A73" t="s">
        <v>89</v>
      </c>
      <c r="B73" t="s">
        <v>80</v>
      </c>
      <c r="C73">
        <v>13</v>
      </c>
      <c r="D73">
        <v>14</v>
      </c>
      <c r="E73">
        <f t="shared" si="13"/>
        <v>7.1438571428571393E-2</v>
      </c>
      <c r="F73">
        <f>E9</f>
        <v>9.0919090909090935E-2</v>
      </c>
      <c r="G73">
        <f>E22</f>
        <v>0.42858142857142861</v>
      </c>
      <c r="Q73">
        <f t="shared" si="14"/>
        <v>0.51950051948051956</v>
      </c>
      <c r="R73">
        <f t="shared" si="12"/>
        <v>0.36868513296227584</v>
      </c>
      <c r="S73">
        <f>F73*R2</f>
        <v>1.0509077949350651E-2</v>
      </c>
      <c r="T73">
        <f>G73*R13</f>
        <v>6.8782520604969519E-2</v>
      </c>
      <c r="AD73">
        <f t="shared" si="15"/>
        <v>7.9291598554320164E-2</v>
      </c>
      <c r="AF73">
        <f t="shared" si="16"/>
        <v>0.51941530294516736</v>
      </c>
      <c r="AH73">
        <v>0.17926180619761725</v>
      </c>
      <c r="AI73" t="s">
        <v>37</v>
      </c>
    </row>
    <row r="74" spans="1:35" x14ac:dyDescent="0.3">
      <c r="A74" t="s">
        <v>90</v>
      </c>
      <c r="B74" t="s">
        <v>80</v>
      </c>
      <c r="C74">
        <v>5</v>
      </c>
      <c r="D74">
        <v>14</v>
      </c>
      <c r="E74">
        <f t="shared" si="13"/>
        <v>0.64286714285714275</v>
      </c>
      <c r="F74">
        <f>E32</f>
        <v>0.30001000000000005</v>
      </c>
      <c r="Q74">
        <f t="shared" si="14"/>
        <v>0.30001000000000005</v>
      </c>
      <c r="R74">
        <f t="shared" si="12"/>
        <v>0.36868513296227584</v>
      </c>
      <c r="S74">
        <f>F74*R32</f>
        <v>8.0654139031038963E-2</v>
      </c>
      <c r="AD74">
        <f t="shared" si="15"/>
        <v>8.0654139031038963E-2</v>
      </c>
      <c r="AF74">
        <f t="shared" si="16"/>
        <v>1.0922064148504576</v>
      </c>
      <c r="AH74">
        <v>0.16668285351799633</v>
      </c>
      <c r="AI74" t="s">
        <v>76</v>
      </c>
    </row>
    <row r="75" spans="1:35" x14ac:dyDescent="0.3">
      <c r="A75" t="s">
        <v>91</v>
      </c>
      <c r="B75" t="s">
        <v>80</v>
      </c>
      <c r="C75">
        <v>10</v>
      </c>
      <c r="D75">
        <v>14</v>
      </c>
      <c r="E75">
        <f t="shared" si="13"/>
        <v>0.28572428571428571</v>
      </c>
      <c r="Q75">
        <f t="shared" si="14"/>
        <v>0</v>
      </c>
      <c r="R75">
        <f t="shared" si="12"/>
        <v>0.36868513296227584</v>
      </c>
      <c r="AD75">
        <f t="shared" si="15"/>
        <v>0</v>
      </c>
      <c r="AF75">
        <f t="shared" si="16"/>
        <v>0.65440941867656155</v>
      </c>
      <c r="AH75">
        <v>0.11559714285714283</v>
      </c>
      <c r="AI75" t="s">
        <v>9</v>
      </c>
    </row>
    <row r="76" spans="1:35" x14ac:dyDescent="0.3">
      <c r="A76" t="s">
        <v>92</v>
      </c>
      <c r="B76" t="s">
        <v>80</v>
      </c>
      <c r="C76">
        <v>11</v>
      </c>
      <c r="D76">
        <v>14</v>
      </c>
      <c r="E76">
        <f t="shared" si="13"/>
        <v>0.21429571428571431</v>
      </c>
      <c r="F76">
        <f>E6</f>
        <v>0.63637363636363631</v>
      </c>
      <c r="Q76">
        <f t="shared" si="14"/>
        <v>0.63637363636363631</v>
      </c>
      <c r="R76">
        <f t="shared" si="12"/>
        <v>0.36868513296227584</v>
      </c>
      <c r="S76">
        <f>F76*R2</f>
        <v>7.3556610416883092E-2</v>
      </c>
      <c r="AD76">
        <f t="shared" si="15"/>
        <v>7.3556610416883092E-2</v>
      </c>
      <c r="AF76">
        <f t="shared" si="16"/>
        <v>0.65653745766487326</v>
      </c>
      <c r="AH76">
        <v>8.3345833333333341E-2</v>
      </c>
      <c r="AI76" t="s">
        <v>78</v>
      </c>
    </row>
    <row r="77" spans="1:35" x14ac:dyDescent="0.3">
      <c r="A77" t="s">
        <v>93</v>
      </c>
      <c r="B77" t="s">
        <v>80</v>
      </c>
      <c r="C77">
        <v>14</v>
      </c>
      <c r="D77">
        <v>14</v>
      </c>
      <c r="E77">
        <f t="shared" si="13"/>
        <v>1.0000000000000001E-5</v>
      </c>
      <c r="Q77">
        <f t="shared" si="14"/>
        <v>0</v>
      </c>
      <c r="R77">
        <f t="shared" si="12"/>
        <v>0.36868513296227584</v>
      </c>
      <c r="AD77">
        <f t="shared" si="15"/>
        <v>0</v>
      </c>
      <c r="AF77">
        <f t="shared" si="16"/>
        <v>0.36869513296227585</v>
      </c>
    </row>
  </sheetData>
  <sortState xmlns:xlrd2="http://schemas.microsoft.com/office/spreadsheetml/2017/richdata2" ref="AH1:AI80">
    <sortCondition descending="1" ref="AH1:AH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M Hamner</dc:creator>
  <cp:lastModifiedBy>Dean Hamner</cp:lastModifiedBy>
  <dcterms:created xsi:type="dcterms:W3CDTF">2021-11-01T18:48:41Z</dcterms:created>
  <dcterms:modified xsi:type="dcterms:W3CDTF">2021-11-30T00:07:16Z</dcterms:modified>
</cp:coreProperties>
</file>